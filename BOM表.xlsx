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BOM" sheetId="1" r:id="rId1"/>
  </sheets>
  <externalReferences>
    <externalReference r:id="rId2"/>
  </externalReferences>
  <definedNames>
    <definedName name="_xlnm._FilterDatabase" localSheetId="0" hidden="1">BOM!$B$2:$J$120</definedName>
    <definedName name="_xlnm.Print_Area" localSheetId="0">BOM!$B$13:$R$15</definedName>
    <definedName name="_xlnm.Print_Titles" localSheetId="0">BOM!$1:$1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<sst xmlns="http://schemas.openxmlformats.org/spreadsheetml/2006/main" count="114" uniqueCount="57">
  <si>
    <t>日期</t>
  </si>
  <si>
    <t>客户</t>
  </si>
  <si>
    <t>料号</t>
  </si>
  <si>
    <t>产品规格</t>
  </si>
  <si>
    <t>使用材料</t>
  </si>
  <si>
    <t>原材料规格</t>
  </si>
  <si>
    <t>长度</t>
  </si>
  <si>
    <r>
      <rPr>
        <b/>
        <sz val="11"/>
        <color rgb="FFFF0000"/>
        <rFont val="宋体"/>
        <charset val="134"/>
        <scheme val="minor"/>
      </rPr>
      <t>分切宽</t>
    </r>
    <r>
      <rPr>
        <b/>
        <sz val="11"/>
        <color theme="1"/>
        <rFont val="宋体"/>
        <charset val="134"/>
        <scheme val="minor"/>
      </rPr>
      <t>度</t>
    </r>
  </si>
  <si>
    <t>小卷</t>
  </si>
  <si>
    <t>整支</t>
  </si>
  <si>
    <t>料头宽</t>
  </si>
  <si>
    <t>卷/支</t>
  </si>
  <si>
    <t>跳距</t>
  </si>
  <si>
    <t>穴数</t>
  </si>
  <si>
    <t>工单数</t>
  </si>
  <si>
    <t>购买材料数量
（米）</t>
  </si>
  <si>
    <t>购买材料数量
（平方）(5%)</t>
  </si>
  <si>
    <t>模具编号</t>
  </si>
  <si>
    <t>单价</t>
  </si>
  <si>
    <t>原材料单价</t>
  </si>
  <si>
    <t>米琦</t>
  </si>
  <si>
    <t>40*20空白标签</t>
  </si>
  <si>
    <t xml:space="preserve">40*20mm </t>
  </si>
  <si>
    <t>50#合成纸（可移胶）</t>
  </si>
  <si>
    <t>SD220808-00101A-02A-44</t>
  </si>
  <si>
    <t>白色格拉辛3-5GT=0.06MM</t>
  </si>
  <si>
    <t>华云</t>
  </si>
  <si>
    <t>08-01-1638B-保护膜</t>
  </si>
  <si>
    <t>08-01-1638B-正面保护膜 (防静电）</t>
  </si>
  <si>
    <t>FU-500150AS</t>
  </si>
  <si>
    <t>激光</t>
  </si>
  <si>
    <t>08-02-1638B-保护膜</t>
  </si>
  <si>
    <t>08-02-1638B-背面保护膜 (防静电）</t>
  </si>
  <si>
    <t>10-01-1638B-泡棉</t>
  </si>
  <si>
    <t>PSR-10</t>
  </si>
  <si>
    <t>皇冠7972G-05</t>
  </si>
  <si>
    <t>10-02-1638B-泡棉</t>
  </si>
  <si>
    <t>09-03-1638C-背胶</t>
  </si>
  <si>
    <t>0.1蓝色离型膜30-40G</t>
  </si>
  <si>
    <t>积水5240PSB</t>
  </si>
  <si>
    <t>0.075mm 透明离型膜3-5g</t>
  </si>
  <si>
    <t>09-04-1638B-背胶</t>
  </si>
  <si>
    <t>09-05-1638C-背胶</t>
  </si>
  <si>
    <t>09-06-1638A-背胶</t>
  </si>
  <si>
    <t>10-01-1822A-泡棉</t>
  </si>
  <si>
    <t>积水5220PSB</t>
  </si>
  <si>
    <t>SD231111-001A02A-01A-18</t>
  </si>
  <si>
    <t>10-04-1822A-泡棉</t>
  </si>
  <si>
    <t>10-02-1822A-泡棉</t>
  </si>
  <si>
    <t>10-03-1822A-泡棉</t>
  </si>
  <si>
    <t>09-01-1822A-背胶</t>
  </si>
  <si>
    <t>09-01-1822A-背胶(3M GPL060灰色胶）</t>
  </si>
  <si>
    <t>GPL-060GF</t>
  </si>
  <si>
    <t>09-02-1822A-背胶</t>
  </si>
  <si>
    <t>09-02-1822A-背胶(3M GPL060灰色胶）</t>
  </si>
  <si>
    <t>09-01-2003A0-背胶</t>
  </si>
  <si>
    <t>09-01-2003A0-背胶（5240PSB)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</si>
</sst>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8"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8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71">
    <xf numFmtId="0" fontId="0" fillId="0" borderId="0" xfId="0"/>
    <xf numFmtId="0" fontId="1" fillId="0" borderId="0" xfId="49" applyAlignment="1" applyProtection="1">
      <alignment horizontal="left" vertical="center"/>
      <protection locked="0"/>
    </xf>
    <xf numFmtId="0" fontId="1" fillId="0" borderId="0" xfId="49" applyProtection="1">
      <alignment vertical="center"/>
      <protection locked="0"/>
    </xf>
    <xf numFmtId="0" fontId="1" fillId="0" borderId="1" xfId="49" applyBorder="1" applyAlignment="1" applyProtection="1">
      <alignment horizontal="center" vertical="center"/>
      <protection locked="0"/>
    </xf>
    <xf numFmtId="0" fontId="1" fillId="0" borderId="1" xfId="49" applyBorder="1" applyAlignment="1" applyProtection="1">
      <alignment horizontal="left" vertical="center"/>
      <protection locked="0"/>
    </xf>
    <xf numFmtId="0" fontId="1" fillId="0" borderId="1" xfId="49" applyBorder="1" applyAlignment="1" applyProtection="1">
      <alignment horizontal="left" vertical="center" wrapText="1"/>
      <protection locked="0"/>
    </xf>
    <xf numFmtId="0" fontId="1" fillId="0" borderId="1" xfId="49" applyBorder="1" applyAlignment="1" applyProtection="1">
      <alignment horizontal="right" vertical="center"/>
      <protection locked="0"/>
    </xf>
    <xf numFmtId="0" fontId="1" fillId="2" borderId="1" xfId="49" applyFill="1" applyBorder="1" applyAlignment="1" applyProtection="1">
      <alignment horizontal="right" vertical="center"/>
      <protection locked="0"/>
    </xf>
    <xf numFmtId="0" fontId="1" fillId="3" borderId="1" xfId="49" applyFill="1" applyBorder="1" applyAlignment="1" applyProtection="1">
      <alignment horizontal="right" vertical="center"/>
      <protection locked="0"/>
    </xf>
    <xf numFmtId="0" fontId="1" fillId="4" borderId="1" xfId="49" applyFill="1" applyBorder="1" applyAlignment="1" applyProtection="1">
      <alignment horizontal="right" vertical="center"/>
      <protection locked="0"/>
    </xf>
    <xf numFmtId="0" fontId="2" fillId="5" borderId="1" xfId="49" applyFont="1" applyFill="1" applyBorder="1" applyAlignment="1" applyProtection="1">
      <alignment horizontal="right" vertical="center"/>
      <protection locked="0"/>
    </xf>
    <xf numFmtId="176" fontId="1" fillId="6" borderId="1" xfId="49" applyNumberFormat="1" applyFill="1" applyBorder="1" applyAlignment="1" applyProtection="1">
      <alignment horizontal="right" vertical="center"/>
      <protection locked="0"/>
    </xf>
    <xf numFmtId="0" fontId="1" fillId="0" borderId="1" xfId="49" applyBorder="1" applyAlignment="1" applyProtection="1">
      <alignment horizontal="center" vertical="center" wrapText="1"/>
      <protection locked="0"/>
    </xf>
    <xf numFmtId="176" fontId="1" fillId="6" borderId="1" xfId="49" applyNumberFormat="1" applyFill="1" applyBorder="1" applyAlignment="1" applyProtection="1">
      <alignment horizontal="center" vertical="center"/>
      <protection locked="0"/>
    </xf>
    <xf numFmtId="0" fontId="3" fillId="0" borderId="2" xfId="49" applyFont="1" applyBorder="1" applyAlignment="1" applyProtection="1">
      <alignment horizontal="left" vertical="center"/>
      <protection locked="0"/>
    </xf>
    <xf numFmtId="0" fontId="3" fillId="0" borderId="3" xfId="49" applyFont="1" applyBorder="1" applyAlignment="1" applyProtection="1">
      <alignment horizontal="left" vertical="center"/>
      <protection locked="0"/>
    </xf>
    <xf numFmtId="0" fontId="3" fillId="0" borderId="3" xfId="49" applyFont="1" applyBorder="1" applyAlignment="1" applyProtection="1">
      <alignment horizontal="left" vertical="center" wrapText="1"/>
      <protection locked="0"/>
    </xf>
    <xf numFmtId="0" fontId="3" fillId="0" borderId="1" xfId="49" applyFont="1" applyBorder="1" applyAlignment="1" applyProtection="1">
      <alignment horizontal="left" vertical="center"/>
      <protection locked="0"/>
    </xf>
    <xf numFmtId="0" fontId="3" fillId="2" borderId="1" xfId="49" applyFont="1" applyFill="1" applyBorder="1" applyAlignment="1" applyProtection="1">
      <alignment horizontal="left" vertical="center" wrapText="1"/>
      <protection locked="0"/>
    </xf>
    <xf numFmtId="0" fontId="4" fillId="3" borderId="3" xfId="49" applyFont="1" applyFill="1" applyBorder="1" applyAlignment="1" applyProtection="1">
      <alignment horizontal="left" vertical="center" wrapText="1"/>
      <protection locked="0"/>
    </xf>
    <xf numFmtId="0" fontId="4" fillId="4" borderId="1" xfId="49" applyFont="1" applyFill="1" applyBorder="1" applyAlignment="1" applyProtection="1">
      <alignment horizontal="left" vertical="center"/>
      <protection locked="0"/>
    </xf>
    <xf numFmtId="0" fontId="4" fillId="5" borderId="1" xfId="49" applyFont="1" applyFill="1" applyBorder="1" applyAlignment="1" applyProtection="1">
      <alignment horizontal="left" vertical="center"/>
      <protection locked="0"/>
    </xf>
    <xf numFmtId="176" fontId="3" fillId="6" borderId="1" xfId="49" applyNumberFormat="1" applyFont="1" applyFill="1" applyBorder="1" applyAlignment="1" applyProtection="1">
      <alignment horizontal="left" vertical="center" wrapText="1"/>
      <protection locked="0"/>
    </xf>
    <xf numFmtId="176" fontId="3" fillId="6" borderId="3" xfId="49" applyNumberFormat="1" applyFont="1" applyFill="1" applyBorder="1" applyAlignment="1" applyProtection="1">
      <alignment horizontal="left" vertical="center" wrapText="1"/>
      <protection locked="0"/>
    </xf>
    <xf numFmtId="0" fontId="3" fillId="0" borderId="1" xfId="49" applyFont="1" applyBorder="1" applyAlignment="1" applyProtection="1">
      <alignment horizontal="left" vertical="center" wrapText="1"/>
      <protection locked="0"/>
    </xf>
    <xf numFmtId="14" fontId="5" fillId="0" borderId="4" xfId="49" applyNumberFormat="1" applyFont="1" applyBorder="1" applyAlignment="1" applyProtection="1">
      <alignment horizontal="center" vertical="center"/>
      <protection locked="0"/>
    </xf>
    <xf numFmtId="0" fontId="5" fillId="0" borderId="3" xfId="49" applyFont="1" applyBorder="1" applyAlignment="1" applyProtection="1">
      <alignment horizontal="left" vertical="center"/>
      <protection locked="0"/>
    </xf>
    <xf numFmtId="0" fontId="5" fillId="0" borderId="3" xfId="49" applyFont="1" applyBorder="1" applyAlignment="1">
      <alignment horizontal="left" vertical="center" wrapText="1"/>
    </xf>
    <xf numFmtId="0" fontId="5" fillId="0" borderId="1" xfId="49" applyFont="1" applyBorder="1" applyAlignment="1">
      <alignment horizontal="left" vertical="center" wrapText="1"/>
    </xf>
    <xf numFmtId="0" fontId="5" fillId="0" borderId="3" xfId="49" applyFont="1" applyBorder="1" applyAlignment="1">
      <alignment horizontal="right" vertical="center"/>
    </xf>
    <xf numFmtId="0" fontId="5" fillId="2" borderId="1" xfId="49" applyFont="1" applyFill="1" applyBorder="1" applyAlignment="1">
      <alignment horizontal="right" vertical="center"/>
    </xf>
    <xf numFmtId="177" fontId="6" fillId="7" borderId="5" xfId="0" applyNumberFormat="1" applyFont="1" applyFill="1" applyBorder="1" applyAlignment="1">
      <alignment vertical="center"/>
    </xf>
    <xf numFmtId="176" fontId="6" fillId="7" borderId="6" xfId="0" applyNumberFormat="1" applyFont="1" applyFill="1" applyBorder="1" applyAlignment="1">
      <alignment vertical="center"/>
    </xf>
    <xf numFmtId="0" fontId="5" fillId="3" borderId="1" xfId="49" applyFont="1" applyFill="1" applyBorder="1" applyAlignment="1">
      <alignment horizontal="right" vertical="center"/>
    </xf>
    <xf numFmtId="177" fontId="5" fillId="0" borderId="1" xfId="49" applyNumberFormat="1" applyFont="1" applyBorder="1" applyAlignment="1">
      <alignment horizontal="right" vertical="center"/>
    </xf>
    <xf numFmtId="0" fontId="5" fillId="4" borderId="1" xfId="49" applyFont="1" applyFill="1" applyBorder="1" applyAlignment="1">
      <alignment horizontal="right" vertical="center"/>
    </xf>
    <xf numFmtId="0" fontId="5" fillId="0" borderId="1" xfId="49" applyFont="1" applyBorder="1" applyAlignment="1">
      <alignment horizontal="right" vertical="center"/>
    </xf>
    <xf numFmtId="0" fontId="7" fillId="5" borderId="1" xfId="49" applyFont="1" applyFill="1" applyBorder="1" applyAlignment="1" applyProtection="1">
      <alignment horizontal="right" vertical="center"/>
      <protection locked="0"/>
    </xf>
    <xf numFmtId="176" fontId="5" fillId="6" borderId="1" xfId="49" applyNumberFormat="1" applyFont="1" applyFill="1" applyBorder="1" applyAlignment="1">
      <alignment horizontal="right" vertical="center"/>
    </xf>
    <xf numFmtId="0" fontId="5" fillId="0" borderId="3" xfId="49" applyFont="1" applyBorder="1" applyAlignment="1">
      <alignment horizontal="center" vertical="center" wrapText="1"/>
    </xf>
    <xf numFmtId="176" fontId="5" fillId="6" borderId="3" xfId="49" applyNumberFormat="1" applyFont="1" applyFill="1" applyBorder="1" applyAlignment="1">
      <alignment horizontal="center" vertical="center"/>
    </xf>
    <xf numFmtId="14" fontId="5" fillId="0" borderId="7" xfId="49" applyNumberFormat="1" applyFont="1" applyBorder="1" applyAlignment="1" applyProtection="1">
      <alignment horizontal="center" vertical="center"/>
      <protection locked="0"/>
    </xf>
    <xf numFmtId="0" fontId="5" fillId="0" borderId="8" xfId="49" applyFont="1" applyBorder="1" applyAlignment="1" applyProtection="1">
      <alignment horizontal="left" vertical="center"/>
      <protection locked="0"/>
    </xf>
    <xf numFmtId="0" fontId="5" fillId="0" borderId="8" xfId="49" applyFont="1" applyBorder="1" applyAlignment="1">
      <alignment horizontal="left" vertical="center" wrapText="1"/>
    </xf>
    <xf numFmtId="0" fontId="5" fillId="0" borderId="1" xfId="49" applyFont="1" applyBorder="1" applyAlignment="1">
      <alignment horizontal="left" vertical="center"/>
    </xf>
    <xf numFmtId="0" fontId="5" fillId="0" borderId="8" xfId="49" applyFont="1" applyBorder="1" applyAlignment="1">
      <alignment horizontal="center" vertical="center" wrapText="1"/>
    </xf>
    <xf numFmtId="176" fontId="5" fillId="6" borderId="8" xfId="49" applyNumberFormat="1" applyFont="1" applyFill="1" applyBorder="1" applyAlignment="1">
      <alignment horizontal="center" vertical="center"/>
    </xf>
    <xf numFmtId="0" fontId="5" fillId="0" borderId="8" xfId="49" applyFont="1" applyBorder="1" applyAlignment="1" applyProtection="1">
      <alignment horizontal="left" vertical="center" wrapText="1"/>
      <protection locked="0"/>
    </xf>
    <xf numFmtId="0" fontId="5" fillId="0" borderId="1" xfId="49" applyFont="1" applyBorder="1" applyAlignment="1" applyProtection="1">
      <alignment horizontal="left" vertical="center"/>
      <protection locked="0"/>
    </xf>
    <xf numFmtId="0" fontId="5" fillId="2" borderId="1" xfId="49" applyFont="1" applyFill="1" applyBorder="1" applyAlignment="1" applyProtection="1">
      <alignment horizontal="right" vertical="center"/>
      <protection locked="0"/>
    </xf>
    <xf numFmtId="177" fontId="6" fillId="7" borderId="5" xfId="0" applyNumberFormat="1" applyFont="1" applyFill="1" applyBorder="1" applyAlignment="1" applyProtection="1">
      <alignment vertical="center"/>
      <protection locked="0"/>
    </xf>
    <xf numFmtId="176" fontId="6" fillId="7" borderId="6" xfId="0" applyNumberFormat="1" applyFont="1" applyFill="1" applyBorder="1" applyAlignment="1" applyProtection="1">
      <alignment vertical="center"/>
      <protection locked="0"/>
    </xf>
    <xf numFmtId="0" fontId="5" fillId="3" borderId="1" xfId="49" applyFont="1" applyFill="1" applyBorder="1" applyAlignment="1" applyProtection="1">
      <alignment horizontal="right" vertical="center"/>
      <protection locked="0"/>
    </xf>
    <xf numFmtId="177" fontId="5" fillId="0" borderId="1" xfId="49" applyNumberFormat="1" applyFont="1" applyBorder="1" applyAlignment="1" applyProtection="1">
      <alignment horizontal="right" vertical="center"/>
      <protection locked="0"/>
    </xf>
    <xf numFmtId="0" fontId="5" fillId="4" borderId="1" xfId="49" applyFont="1" applyFill="1" applyBorder="1" applyAlignment="1" applyProtection="1">
      <alignment horizontal="right" vertical="center"/>
      <protection locked="0"/>
    </xf>
    <xf numFmtId="0" fontId="5" fillId="0" borderId="1" xfId="49" applyFont="1" applyBorder="1" applyAlignment="1" applyProtection="1">
      <alignment horizontal="right" vertical="center"/>
      <protection locked="0"/>
    </xf>
    <xf numFmtId="176" fontId="5" fillId="6" borderId="1" xfId="49" applyNumberFormat="1" applyFont="1" applyFill="1" applyBorder="1" applyAlignment="1" applyProtection="1">
      <alignment horizontal="right" vertical="center"/>
      <protection locked="0"/>
    </xf>
    <xf numFmtId="0" fontId="5" fillId="0" borderId="3" xfId="49" applyFont="1" applyBorder="1" applyAlignment="1" applyProtection="1">
      <alignment horizontal="center" vertical="center" wrapText="1"/>
      <protection locked="0"/>
    </xf>
    <xf numFmtId="176" fontId="5" fillId="6" borderId="3" xfId="49" applyNumberFormat="1" applyFont="1" applyFill="1" applyBorder="1" applyAlignment="1" applyProtection="1">
      <alignment horizontal="center" vertical="center"/>
      <protection locked="0"/>
    </xf>
    <xf numFmtId="0" fontId="5" fillId="0" borderId="1" xfId="49" applyFont="1" applyBorder="1" applyAlignment="1" applyProtection="1">
      <alignment horizontal="left" vertical="center" wrapText="1"/>
      <protection locked="0"/>
    </xf>
    <xf numFmtId="0" fontId="5" fillId="0" borderId="3" xfId="49" applyFont="1" applyBorder="1" applyAlignment="1" applyProtection="1">
      <alignment horizontal="right" vertical="center"/>
      <protection locked="0"/>
    </xf>
    <xf numFmtId="176" fontId="5" fillId="6" borderId="8" xfId="49" applyNumberFormat="1" applyFont="1" applyFill="1" applyBorder="1" applyAlignment="1" applyProtection="1">
      <alignment horizontal="center" vertical="center"/>
      <protection locked="0"/>
    </xf>
    <xf numFmtId="0" fontId="5" fillId="0" borderId="8" xfId="49" applyFont="1" applyBorder="1" applyAlignment="1" applyProtection="1">
      <alignment horizontal="center" vertical="center" wrapText="1"/>
      <protection locked="0"/>
    </xf>
    <xf numFmtId="176" fontId="5" fillId="0" borderId="1" xfId="49" applyNumberFormat="1" applyFont="1" applyBorder="1" applyAlignment="1" applyProtection="1">
      <alignment horizontal="right" vertical="center"/>
      <protection locked="0"/>
    </xf>
    <xf numFmtId="0" fontId="5" fillId="2" borderId="3" xfId="49" applyFont="1" applyFill="1" applyBorder="1" applyAlignment="1" applyProtection="1">
      <alignment horizontal="right" vertical="center"/>
      <protection locked="0"/>
    </xf>
    <xf numFmtId="0" fontId="5" fillId="4" borderId="3" xfId="49" applyFont="1" applyFill="1" applyBorder="1" applyAlignment="1" applyProtection="1">
      <alignment horizontal="right" vertical="center"/>
      <protection locked="0"/>
    </xf>
    <xf numFmtId="0" fontId="7" fillId="5" borderId="3" xfId="49" applyFont="1" applyFill="1" applyBorder="1" applyAlignment="1" applyProtection="1">
      <alignment horizontal="right" vertical="center"/>
      <protection locked="0"/>
    </xf>
    <xf numFmtId="176" fontId="5" fillId="0" borderId="1" xfId="49" applyNumberFormat="1" applyFont="1" applyBorder="1" applyAlignment="1" applyProtection="1">
      <alignment horizontal="left" vertical="center" wrapText="1"/>
      <protection locked="0"/>
    </xf>
    <xf numFmtId="0" fontId="5" fillId="3" borderId="3" xfId="49" applyFont="1" applyFill="1" applyBorder="1" applyAlignment="1" applyProtection="1">
      <alignment horizontal="right" vertical="center"/>
      <protection locked="0"/>
    </xf>
    <xf numFmtId="0" fontId="6" fillId="7" borderId="5" xfId="0" applyFont="1" applyFill="1" applyBorder="1" applyAlignment="1" applyProtection="1">
      <alignment vertical="center"/>
      <protection locked="0"/>
    </xf>
    <xf numFmtId="0" fontId="5" fillId="0" borderId="0" xfId="49" applyFont="1" applyProtection="1">
      <alignment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641;&#24535;&#30005;&#23376;\.&#26102;&#20195;&#32676;&#21019;&#24037;&#20316;&#36164;&#26009;\.&#25253;&#20215;&#36164;&#26009;\.&#25253;&#20215;&#21333;&#27169;&#26495;\.&#25253;&#20215;&#35745;&#31639;&#24335;&#27169;&#26495;&amp;&#26448;&#26009;&#21333;&#20215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时代"/>
      <sheetName val="YX.11080,YX.11081,1182,11083"/>
      <sheetName val="安石"/>
      <sheetName val="宇星鸿"/>
      <sheetName val="材料清单"/>
      <sheetName val="停止交易"/>
      <sheetName val="BOM表"/>
      <sheetName val="成本计算分析表23"/>
      <sheetName val="成本计算分析表38.5 "/>
      <sheetName val="联创报价单"/>
      <sheetName val="报价单"/>
    </sheetNames>
    <sheetDataSet>
      <sheetData sheetId="0"/>
      <sheetData sheetId="1"/>
      <sheetData sheetId="2"/>
      <sheetData sheetId="3"/>
      <sheetData sheetId="4">
        <row r="2">
          <cell r="D2" t="str">
            <v>0.12黑色醋酸布</v>
          </cell>
          <cell r="E2" t="str">
            <v>志恒鑫</v>
          </cell>
        </row>
        <row r="2">
          <cell r="H2">
            <v>50</v>
          </cell>
          <cell r="I2">
            <v>14.69</v>
          </cell>
        </row>
        <row r="2">
          <cell r="K2">
            <v>13</v>
          </cell>
        </row>
        <row r="3">
          <cell r="D3" t="str">
            <v>0.1导电铜箔（单面带胶）</v>
          </cell>
          <cell r="E3" t="str">
            <v>志恒鑫</v>
          </cell>
        </row>
        <row r="3">
          <cell r="I3">
            <v>53.11</v>
          </cell>
        </row>
        <row r="3">
          <cell r="K3">
            <v>47</v>
          </cell>
        </row>
        <row r="4">
          <cell r="D4" t="str">
            <v>9*9*4MM 导电泡棉</v>
          </cell>
          <cell r="E4" t="str">
            <v>志恒鑫</v>
          </cell>
        </row>
        <row r="4">
          <cell r="I4">
            <v>0.02034</v>
          </cell>
        </row>
        <row r="4">
          <cell r="K4">
            <v>0.018</v>
          </cell>
        </row>
        <row r="5">
          <cell r="D5" t="str">
            <v>9*9*6MM导电泡棉</v>
          </cell>
          <cell r="E5" t="str">
            <v>志恒鑫</v>
          </cell>
        </row>
        <row r="5">
          <cell r="I5">
            <v>0.02373</v>
          </cell>
        </row>
        <row r="5">
          <cell r="K5">
            <v>0.021</v>
          </cell>
        </row>
        <row r="6">
          <cell r="D6" t="str">
            <v>9*9*9MM导电泡棉</v>
          </cell>
          <cell r="E6" t="str">
            <v>志恒鑫</v>
          </cell>
        </row>
        <row r="6">
          <cell r="I6">
            <v>0.02712</v>
          </cell>
        </row>
        <row r="6">
          <cell r="K6">
            <v>0.024</v>
          </cell>
        </row>
        <row r="7">
          <cell r="D7" t="str">
            <v>0.8mm导电海绵带胶（灰色）</v>
          </cell>
          <cell r="E7" t="str">
            <v>志恒鑫</v>
          </cell>
        </row>
        <row r="7">
          <cell r="I7">
            <v>84.75</v>
          </cell>
        </row>
        <row r="7">
          <cell r="K7">
            <v>75</v>
          </cell>
        </row>
        <row r="8">
          <cell r="D8" t="str">
            <v>ZHX-D020Q 0.1导电布</v>
          </cell>
          <cell r="E8" t="str">
            <v>志恒鑫</v>
          </cell>
          <cell r="F8">
            <v>0.1</v>
          </cell>
          <cell r="G8">
            <v>1000</v>
          </cell>
          <cell r="H8">
            <v>100</v>
          </cell>
          <cell r="I8">
            <v>35.03</v>
          </cell>
        </row>
        <row r="8">
          <cell r="K8">
            <v>31</v>
          </cell>
        </row>
        <row r="9">
          <cell r="D9" t="str">
            <v>S15充电小板导电布</v>
          </cell>
          <cell r="E9" t="str">
            <v>志恒鑫</v>
          </cell>
        </row>
        <row r="9">
          <cell r="I9">
            <v>0.1356</v>
          </cell>
        </row>
        <row r="9">
          <cell r="K9">
            <v>0.12</v>
          </cell>
        </row>
        <row r="10">
          <cell r="D10" t="str">
            <v>80μ油胶</v>
          </cell>
          <cell r="E10" t="str">
            <v>亿福利</v>
          </cell>
        </row>
        <row r="10">
          <cell r="G10">
            <v>1020</v>
          </cell>
          <cell r="H10">
            <v>100</v>
          </cell>
          <cell r="I10">
            <v>5.6</v>
          </cell>
        </row>
        <row r="11">
          <cell r="D11" t="str">
            <v>0.1透明PET原膜</v>
          </cell>
          <cell r="E11" t="str">
            <v>亿福利</v>
          </cell>
          <cell r="F11">
            <v>0.1</v>
          </cell>
          <cell r="G11">
            <v>1090</v>
          </cell>
          <cell r="H11">
            <v>50</v>
          </cell>
          <cell r="I11">
            <v>3.2</v>
          </cell>
        </row>
        <row r="12">
          <cell r="D12" t="str">
            <v>日东57115SB</v>
          </cell>
          <cell r="E12" t="str">
            <v>兴奕达</v>
          </cell>
          <cell r="F12">
            <v>0.15</v>
          </cell>
          <cell r="G12">
            <v>960</v>
          </cell>
          <cell r="H12">
            <v>100</v>
          </cell>
          <cell r="I12">
            <v>204</v>
          </cell>
        </row>
        <row r="13">
          <cell r="D13" t="str">
            <v>日东57140B</v>
          </cell>
          <cell r="E13" t="str">
            <v>兴奕达</v>
          </cell>
          <cell r="F13">
            <v>0.4</v>
          </cell>
        </row>
        <row r="13">
          <cell r="K13">
            <v>183</v>
          </cell>
        </row>
        <row r="14">
          <cell r="D14" t="str">
            <v>日东57120SB</v>
          </cell>
          <cell r="E14" t="str">
            <v>兴奕达</v>
          </cell>
          <cell r="F14">
            <v>0.2</v>
          </cell>
        </row>
        <row r="15">
          <cell r="D15" t="str">
            <v>黑色磨砂硅胶（0.9T)</v>
          </cell>
          <cell r="E15" t="str">
            <v>信越</v>
          </cell>
        </row>
        <row r="15">
          <cell r="G15">
            <v>1000</v>
          </cell>
          <cell r="H15">
            <v>30</v>
          </cell>
        </row>
        <row r="16">
          <cell r="D16" t="str">
            <v>3M55261-10</v>
          </cell>
          <cell r="E16" t="str">
            <v>硕源</v>
          </cell>
          <cell r="F16">
            <v>0.1</v>
          </cell>
          <cell r="G16">
            <v>1200</v>
          </cell>
          <cell r="H16" t="str">
            <v>100m</v>
          </cell>
          <cell r="I16">
            <v>21</v>
          </cell>
        </row>
        <row r="16">
          <cell r="L16" t="str">
            <v>刘正主</v>
          </cell>
          <cell r="M16" t="str">
            <v>135 9020 6526</v>
          </cell>
        </row>
        <row r="17">
          <cell r="D17" t="str">
            <v>3M 9448A双面胶</v>
          </cell>
          <cell r="E17" t="str">
            <v>硕源</v>
          </cell>
          <cell r="F17">
            <v>0.15</v>
          </cell>
          <cell r="G17">
            <v>1200</v>
          </cell>
          <cell r="H17">
            <v>50</v>
          </cell>
          <cell r="I17">
            <v>26.3</v>
          </cell>
        </row>
        <row r="18">
          <cell r="D18" t="str">
            <v>3M 5952</v>
          </cell>
          <cell r="E18" t="str">
            <v>硕源</v>
          </cell>
          <cell r="F18">
            <v>1.1</v>
          </cell>
          <cell r="G18">
            <v>610</v>
          </cell>
          <cell r="H18">
            <v>33</v>
          </cell>
          <cell r="I18">
            <v>234.8</v>
          </cell>
        </row>
        <row r="19">
          <cell r="D19" t="str">
            <v>3M GTM710</v>
          </cell>
          <cell r="E19" t="str">
            <v>硕源</v>
          </cell>
        </row>
        <row r="19">
          <cell r="I19">
            <v>56</v>
          </cell>
        </row>
        <row r="20">
          <cell r="D20" t="str">
            <v>3M5909</v>
          </cell>
          <cell r="E20" t="str">
            <v>硕源</v>
          </cell>
          <cell r="F20">
            <v>0.23</v>
          </cell>
          <cell r="G20">
            <v>584</v>
          </cell>
          <cell r="H20">
            <v>66</v>
          </cell>
          <cell r="I20">
            <v>168.638439186384</v>
          </cell>
        </row>
        <row r="21">
          <cell r="D21" t="str">
            <v>3M4991</v>
          </cell>
          <cell r="E21" t="str">
            <v>硕源</v>
          </cell>
          <cell r="F21">
            <v>0.3</v>
          </cell>
          <cell r="G21">
            <v>610</v>
          </cell>
          <cell r="H21">
            <v>33</v>
          </cell>
          <cell r="I21">
            <v>372.5782414307</v>
          </cell>
        </row>
        <row r="22">
          <cell r="D22" t="str">
            <v>0.38黑色PC</v>
          </cell>
          <cell r="E22" t="str">
            <v>深圳源福绝缘材料有限公司</v>
          </cell>
        </row>
        <row r="22">
          <cell r="K22">
            <v>28</v>
          </cell>
        </row>
        <row r="23">
          <cell r="D23" t="str">
            <v>RTYL200S</v>
          </cell>
          <cell r="E23" t="str">
            <v>深圳市瑞和泰胶贴制品有限公司</v>
          </cell>
          <cell r="F23">
            <v>0.06</v>
          </cell>
          <cell r="G23">
            <v>1070</v>
          </cell>
          <cell r="H23">
            <v>100</v>
          </cell>
        </row>
        <row r="23">
          <cell r="K23">
            <v>37</v>
          </cell>
          <cell r="L23" t="str">
            <v>周艳兵</v>
          </cell>
          <cell r="M23">
            <v>13544083086</v>
          </cell>
        </row>
        <row r="24">
          <cell r="D24" t="str">
            <v>DIC WSR100BK</v>
          </cell>
          <cell r="E24" t="str">
            <v>深圳市嘉隆硕丰科技有限公司 </v>
          </cell>
          <cell r="F24">
            <v>0.1</v>
          </cell>
          <cell r="G24">
            <v>980</v>
          </cell>
          <cell r="H24">
            <v>50</v>
          </cell>
          <cell r="I24">
            <v>180</v>
          </cell>
        </row>
        <row r="24">
          <cell r="L24" t="str">
            <v>徐广珊</v>
          </cell>
          <cell r="M24">
            <v>18922801795</v>
          </cell>
        </row>
        <row r="25">
          <cell r="D25" t="str">
            <v>LK-5502EC</v>
          </cell>
          <cell r="E25" t="str">
            <v>深圳市博克电子科技有限公司</v>
          </cell>
          <cell r="F25">
            <v>0.06</v>
          </cell>
          <cell r="G25">
            <v>1200</v>
          </cell>
          <cell r="H25">
            <v>200</v>
          </cell>
          <cell r="I25" t="str">
            <v>7.7</v>
          </cell>
        </row>
        <row r="25">
          <cell r="L25" t="str">
            <v>朱博琳</v>
          </cell>
          <cell r="M25">
            <v>13788366628</v>
          </cell>
        </row>
        <row r="26">
          <cell r="D26" t="str">
            <v>BK-MC0500B</v>
          </cell>
          <cell r="E26" t="str">
            <v>深圳市博克电子科技有限公司</v>
          </cell>
          <cell r="F26">
            <v>0.5</v>
          </cell>
          <cell r="G26">
            <v>1050</v>
          </cell>
          <cell r="H26">
            <v>50</v>
          </cell>
          <cell r="I26">
            <v>38</v>
          </cell>
        </row>
        <row r="27">
          <cell r="D27" t="str">
            <v>80U油胶</v>
          </cell>
          <cell r="E27" t="str">
            <v>启彤</v>
          </cell>
        </row>
        <row r="27">
          <cell r="G27">
            <v>1240</v>
          </cell>
          <cell r="H27">
            <v>100</v>
          </cell>
        </row>
        <row r="28">
          <cell r="D28" t="str">
            <v>积水5230PSB</v>
          </cell>
          <cell r="E28" t="str">
            <v>启彤</v>
          </cell>
        </row>
        <row r="28">
          <cell r="G28">
            <v>980</v>
          </cell>
          <cell r="H28">
            <v>50</v>
          </cell>
          <cell r="I28">
            <v>193</v>
          </cell>
        </row>
        <row r="28">
          <cell r="N28" t="str">
            <v>高防95</v>
          </cell>
        </row>
        <row r="29">
          <cell r="D29" t="str">
            <v>皇冠513</v>
          </cell>
          <cell r="E29" t="str">
            <v>启彤</v>
          </cell>
        </row>
        <row r="29">
          <cell r="G29">
            <v>1240</v>
          </cell>
          <cell r="H29">
            <v>50</v>
          </cell>
        </row>
        <row r="30">
          <cell r="D30" t="str">
            <v>PSR-05</v>
          </cell>
          <cell r="E30" t="str">
            <v>李丹</v>
          </cell>
          <cell r="F30">
            <v>0.5</v>
          </cell>
        </row>
        <row r="30">
          <cell r="K30">
            <v>36</v>
          </cell>
        </row>
        <row r="31">
          <cell r="D31" t="str">
            <v>PSR-03</v>
          </cell>
          <cell r="E31" t="str">
            <v>李丹</v>
          </cell>
          <cell r="F31">
            <v>0.3</v>
          </cell>
        </row>
        <row r="31">
          <cell r="K31">
            <v>40</v>
          </cell>
        </row>
        <row r="32">
          <cell r="D32" t="str">
            <v>PSR-015</v>
          </cell>
          <cell r="E32" t="str">
            <v>李丹</v>
          </cell>
          <cell r="F32">
            <v>0.15</v>
          </cell>
          <cell r="G32">
            <v>520</v>
          </cell>
          <cell r="H32">
            <v>100</v>
          </cell>
          <cell r="I32">
            <v>60</v>
          </cell>
        </row>
        <row r="32">
          <cell r="K32">
            <v>70</v>
          </cell>
        </row>
        <row r="33">
          <cell r="D33" t="str">
            <v>tesa62646</v>
          </cell>
          <cell r="E33" t="str">
            <v>科电</v>
          </cell>
        </row>
        <row r="33">
          <cell r="G33">
            <v>940</v>
          </cell>
          <cell r="H33">
            <v>100</v>
          </cell>
        </row>
        <row r="34">
          <cell r="D34" t="str">
            <v>tesa68747</v>
          </cell>
          <cell r="E34" t="str">
            <v>科电</v>
          </cell>
        </row>
        <row r="34">
          <cell r="G34">
            <v>1250</v>
          </cell>
          <cell r="H34">
            <v>100</v>
          </cell>
          <cell r="I34">
            <v>36.2</v>
          </cell>
        </row>
        <row r="34">
          <cell r="L34" t="str">
            <v>付伟</v>
          </cell>
          <cell r="M34">
            <v>18166048755</v>
          </cell>
        </row>
        <row r="35">
          <cell r="D35" t="str">
            <v>tesa88641</v>
          </cell>
          <cell r="E35" t="str">
            <v>科电</v>
          </cell>
        </row>
        <row r="35">
          <cell r="G35">
            <v>1240</v>
          </cell>
          <cell r="H35">
            <v>50</v>
          </cell>
          <cell r="I35">
            <v>16</v>
          </cell>
        </row>
        <row r="35">
          <cell r="L35" t="str">
            <v>付伟</v>
          </cell>
          <cell r="M35">
            <v>18166048755</v>
          </cell>
        </row>
        <row r="36">
          <cell r="D36" t="str">
            <v>JL-B400PA 黑色</v>
          </cell>
          <cell r="E36" t="str">
            <v>锦龙</v>
          </cell>
        </row>
        <row r="36">
          <cell r="G36">
            <v>800</v>
          </cell>
          <cell r="H36">
            <v>50</v>
          </cell>
        </row>
        <row r="37">
          <cell r="D37" t="str">
            <v>JL-B200PA 黑色尼龙</v>
          </cell>
          <cell r="E37" t="str">
            <v>锦龙</v>
          </cell>
        </row>
        <row r="37">
          <cell r="G37">
            <v>98</v>
          </cell>
          <cell r="H37">
            <v>50</v>
          </cell>
        </row>
        <row r="38">
          <cell r="D38" t="str">
            <v>JL-BO42HY-黑色</v>
          </cell>
          <cell r="E38" t="str">
            <v>锦龙</v>
          </cell>
        </row>
        <row r="38">
          <cell r="K38">
            <v>230</v>
          </cell>
        </row>
        <row r="39">
          <cell r="D39" t="str">
            <v>JL-B100PA-10黑色尼龙</v>
          </cell>
          <cell r="E39" t="str">
            <v>锦龙</v>
          </cell>
        </row>
        <row r="39">
          <cell r="K39">
            <v>28</v>
          </cell>
        </row>
        <row r="40">
          <cell r="D40" t="str">
            <v>JL-B320T-3 黑色</v>
          </cell>
          <cell r="E40" t="str">
            <v>锦龙</v>
          </cell>
        </row>
        <row r="40">
          <cell r="G40">
            <v>900</v>
          </cell>
          <cell r="H40">
            <v>10</v>
          </cell>
        </row>
        <row r="40">
          <cell r="K40">
            <v>37</v>
          </cell>
        </row>
        <row r="41">
          <cell r="D41" t="str">
            <v>PFDS753-020</v>
          </cell>
          <cell r="E41" t="str">
            <v>皇冠</v>
          </cell>
          <cell r="F41">
            <v>0.113</v>
          </cell>
          <cell r="G41" t="str">
            <v>980-1140</v>
          </cell>
          <cell r="H41">
            <v>200</v>
          </cell>
          <cell r="I41">
            <v>37</v>
          </cell>
        </row>
        <row r="42">
          <cell r="D42" t="str">
            <v>皇冠7972G-05</v>
          </cell>
          <cell r="E42" t="str">
            <v>皇冠</v>
          </cell>
          <cell r="F42">
            <v>0.05</v>
          </cell>
          <cell r="G42">
            <v>1240</v>
          </cell>
          <cell r="H42">
            <v>100</v>
          </cell>
          <cell r="I42">
            <v>6.8</v>
          </cell>
        </row>
        <row r="42">
          <cell r="L42" t="str">
            <v>石则凰</v>
          </cell>
          <cell r="M42">
            <v>13826942872</v>
          </cell>
        </row>
        <row r="43">
          <cell r="D43" t="str">
            <v>皇冠7980G</v>
          </cell>
          <cell r="E43" t="str">
            <v>皇冠</v>
          </cell>
        </row>
        <row r="43">
          <cell r="G43">
            <v>1240</v>
          </cell>
          <cell r="H43">
            <v>100</v>
          </cell>
          <cell r="I43">
            <v>10.8</v>
          </cell>
        </row>
        <row r="43">
          <cell r="L43" t="str">
            <v>石则凰</v>
          </cell>
          <cell r="M43">
            <v>13826942872</v>
          </cell>
        </row>
        <row r="44">
          <cell r="D44" t="str">
            <v>皇冠7982G</v>
          </cell>
          <cell r="E44" t="str">
            <v>皇冠</v>
          </cell>
          <cell r="F44">
            <v>0.1</v>
          </cell>
          <cell r="G44">
            <v>1240</v>
          </cell>
          <cell r="H44">
            <v>100</v>
          </cell>
          <cell r="I44">
            <v>12.5</v>
          </cell>
        </row>
        <row r="44">
          <cell r="L44" t="str">
            <v>石则凰</v>
          </cell>
          <cell r="M44">
            <v>13826942872</v>
          </cell>
        </row>
        <row r="45">
          <cell r="D45" t="str">
            <v>皇冠7882BT</v>
          </cell>
          <cell r="E45" t="str">
            <v>皇冠</v>
          </cell>
        </row>
        <row r="45">
          <cell r="G45">
            <v>1020</v>
          </cell>
          <cell r="H45">
            <v>100</v>
          </cell>
          <cell r="I45">
            <v>13</v>
          </cell>
        </row>
        <row r="45">
          <cell r="L45" t="str">
            <v>石则凰</v>
          </cell>
          <cell r="M45">
            <v>13826942872</v>
          </cell>
        </row>
        <row r="46">
          <cell r="D46" t="str">
            <v>皇冠7983G T=0.03</v>
          </cell>
          <cell r="E46" t="str">
            <v>皇冠</v>
          </cell>
          <cell r="F46">
            <v>0.03</v>
          </cell>
          <cell r="G46">
            <v>1240</v>
          </cell>
          <cell r="H46">
            <v>50</v>
          </cell>
          <cell r="I46">
            <v>8.5</v>
          </cell>
        </row>
        <row r="47">
          <cell r="D47" t="str">
            <v>CRT-K54022</v>
          </cell>
          <cell r="E47" t="str">
            <v>皇冠</v>
          </cell>
          <cell r="F47">
            <v>0.15</v>
          </cell>
          <cell r="G47">
            <v>1240</v>
          </cell>
          <cell r="H47">
            <v>100</v>
          </cell>
          <cell r="I47">
            <v>17</v>
          </cell>
        </row>
        <row r="48">
          <cell r="D48" t="str">
            <v>CRT-K54601 T=0.01双面胶</v>
          </cell>
          <cell r="E48" t="str">
            <v>皇冠</v>
          </cell>
          <cell r="F48">
            <v>0.01</v>
          </cell>
          <cell r="G48">
            <v>1020</v>
          </cell>
          <cell r="H48">
            <v>200</v>
          </cell>
        </row>
        <row r="49">
          <cell r="D49" t="str">
            <v>CRT-K54022(CRT-DT150C )  时代群创特殊料号</v>
          </cell>
          <cell r="E49" t="str">
            <v>皇冠</v>
          </cell>
          <cell r="F49">
            <v>0.15</v>
          </cell>
          <cell r="G49">
            <v>1240</v>
          </cell>
          <cell r="H49">
            <v>200</v>
          </cell>
          <cell r="I49">
            <v>17</v>
          </cell>
        </row>
        <row r="50">
          <cell r="D50" t="str">
            <v>CR-8347GM-8</v>
          </cell>
          <cell r="E50" t="str">
            <v>皇冠</v>
          </cell>
        </row>
        <row r="50">
          <cell r="G50">
            <v>1160</v>
          </cell>
          <cell r="H50">
            <v>150</v>
          </cell>
          <cell r="I50">
            <v>25</v>
          </cell>
        </row>
        <row r="50">
          <cell r="L50" t="str">
            <v>邓静 </v>
          </cell>
          <cell r="M50">
            <v>18360852577</v>
          </cell>
        </row>
        <row r="51">
          <cell r="D51" t="str">
            <v>DT2208L</v>
          </cell>
          <cell r="E51" t="str">
            <v>皇冠</v>
          </cell>
          <cell r="F51">
            <v>0.08</v>
          </cell>
          <cell r="G51">
            <v>1020</v>
          </cell>
          <cell r="H51">
            <v>200</v>
          </cell>
        </row>
        <row r="52">
          <cell r="D52" t="str">
            <v>HC-L15 单导铝箔</v>
          </cell>
          <cell r="E52" t="str">
            <v>华诚胶粘</v>
          </cell>
        </row>
        <row r="52">
          <cell r="G52">
            <v>1200</v>
          </cell>
          <cell r="H52">
            <v>25</v>
          </cell>
        </row>
        <row r="53">
          <cell r="D53" t="str">
            <v>RC-109A3TD白色网格纸</v>
          </cell>
          <cell r="E53" t="str">
            <v>恒聪</v>
          </cell>
        </row>
        <row r="53">
          <cell r="G53">
            <v>1090</v>
          </cell>
          <cell r="H53">
            <v>200</v>
          </cell>
          <cell r="I53">
            <v>3.4</v>
          </cell>
        </row>
        <row r="53">
          <cell r="L53" t="str">
            <v>楚勇</v>
          </cell>
          <cell r="M53">
            <v>13829112343</v>
          </cell>
          <cell r="N53" t="str">
            <v>东莞市长安镇乌沙兴三路7号103室</v>
          </cell>
        </row>
        <row r="54">
          <cell r="D54" t="str">
            <v>40度黑色磨砂硅胶</v>
          </cell>
          <cell r="E54" t="str">
            <v>繁中宝</v>
          </cell>
          <cell r="F54">
            <v>2.5</v>
          </cell>
          <cell r="G54">
            <v>1000</v>
          </cell>
          <cell r="H54">
            <v>1</v>
          </cell>
        </row>
        <row r="54">
          <cell r="K54" t="str">
            <v>33</v>
          </cell>
        </row>
        <row r="55">
          <cell r="D55" t="str">
            <v>40度黑色磨砂硅胶</v>
          </cell>
          <cell r="E55" t="str">
            <v>繁中宝</v>
          </cell>
          <cell r="F55">
            <v>2</v>
          </cell>
          <cell r="G55">
            <v>1000</v>
          </cell>
          <cell r="H55">
            <v>1</v>
          </cell>
        </row>
        <row r="55">
          <cell r="K55">
            <v>33</v>
          </cell>
        </row>
        <row r="56">
          <cell r="D56" t="str">
            <v>38度1.7黑色EVA</v>
          </cell>
          <cell r="E56" t="str">
            <v>繁中宝</v>
          </cell>
          <cell r="F56">
            <v>1.7</v>
          </cell>
          <cell r="G56">
            <v>1000</v>
          </cell>
          <cell r="H56">
            <v>100</v>
          </cell>
        </row>
        <row r="56">
          <cell r="K56">
            <v>3.1</v>
          </cell>
        </row>
        <row r="57">
          <cell r="D57" t="str">
            <v>WL04</v>
          </cell>
          <cell r="E57" t="str">
            <v>东莞市裕正胶带有限公司 </v>
          </cell>
        </row>
        <row r="57">
          <cell r="G57">
            <v>1020</v>
          </cell>
          <cell r="H57">
            <v>50</v>
          </cell>
          <cell r="I57">
            <v>95</v>
          </cell>
        </row>
        <row r="58">
          <cell r="D58" t="str">
            <v>黑色磨砂硅胶T=0.3 60度</v>
          </cell>
          <cell r="E58" t="str">
            <v>东莞市信越实业有限公司</v>
          </cell>
        </row>
        <row r="58">
          <cell r="K58">
            <v>15.5</v>
          </cell>
          <cell r="L58" t="str">
            <v>杨小姐</v>
          </cell>
          <cell r="M58">
            <v>18929299833</v>
          </cell>
        </row>
        <row r="59">
          <cell r="D59" t="str">
            <v>圣戈班 K10-0.8mm-MD</v>
          </cell>
          <cell r="E59" t="str">
            <v>东莞市述科电子有限公司 </v>
          </cell>
          <cell r="F59">
            <v>0.8</v>
          </cell>
          <cell r="G59">
            <v>660</v>
          </cell>
          <cell r="H59">
            <v>50</v>
          </cell>
        </row>
        <row r="59">
          <cell r="K59">
            <v>110</v>
          </cell>
          <cell r="L59" t="str">
            <v>唐永海</v>
          </cell>
          <cell r="M59">
            <v>13360519760</v>
          </cell>
        </row>
        <row r="60">
          <cell r="D60" t="str">
            <v>AW5200P</v>
          </cell>
          <cell r="E60" t="str">
            <v>东莞市利弘胶粘制品有限公司</v>
          </cell>
        </row>
        <row r="60">
          <cell r="H60">
            <v>1000</v>
          </cell>
          <cell r="I60">
            <v>2.1</v>
          </cell>
        </row>
        <row r="60">
          <cell r="L60" t="str">
            <v>彭爱林   </v>
          </cell>
          <cell r="M60">
            <v>13950385131</v>
          </cell>
          <cell r="N60" t="str">
            <v>广东省东莞市樟木头镇柏地文明街88号</v>
          </cell>
        </row>
        <row r="61">
          <cell r="D61" t="str">
            <v>7525C绿色胶带</v>
          </cell>
          <cell r="E61" t="str">
            <v>东莞市柯盛新材料有限公司</v>
          </cell>
          <cell r="F61">
            <v>0.1</v>
          </cell>
          <cell r="G61">
            <v>1020</v>
          </cell>
          <cell r="H61">
            <v>50</v>
          </cell>
          <cell r="I61">
            <v>7.3</v>
          </cell>
        </row>
        <row r="61">
          <cell r="L61" t="str">
            <v>吴先生</v>
          </cell>
        </row>
        <row r="62">
          <cell r="D62" t="str">
            <v>18822B蓝色胶带</v>
          </cell>
          <cell r="E62" t="str">
            <v>东莞市柯盛新材料有限公司</v>
          </cell>
          <cell r="F62">
            <v>0.23</v>
          </cell>
          <cell r="G62">
            <v>980</v>
          </cell>
          <cell r="H62">
            <v>50</v>
          </cell>
          <cell r="I62">
            <v>13.5</v>
          </cell>
        </row>
        <row r="62">
          <cell r="L62" t="str">
            <v>吴先生</v>
          </cell>
        </row>
        <row r="63">
          <cell r="D63" t="str">
            <v>0.15红色硅胶带（领丰专用红）</v>
          </cell>
          <cell r="E63" t="str">
            <v>东莞市柯盛新材料有限公司</v>
          </cell>
          <cell r="F63">
            <v>0.15</v>
          </cell>
          <cell r="G63">
            <v>1020</v>
          </cell>
          <cell r="H63">
            <v>50</v>
          </cell>
          <cell r="I63">
            <v>11</v>
          </cell>
        </row>
        <row r="63">
          <cell r="L63" t="str">
            <v>吴先生</v>
          </cell>
        </row>
        <row r="64">
          <cell r="D64" t="str">
            <v>50#合成纸（可移胶）</v>
          </cell>
          <cell r="E64" t="str">
            <v>东莞市冠利印刷材料有限公司 </v>
          </cell>
          <cell r="F64">
            <v>0.05</v>
          </cell>
          <cell r="G64">
            <v>1070</v>
          </cell>
          <cell r="H64">
            <v>200</v>
          </cell>
          <cell r="I64">
            <v>4.5</v>
          </cell>
        </row>
        <row r="64">
          <cell r="L64" t="str">
            <v>沈先生</v>
          </cell>
        </row>
        <row r="65">
          <cell r="D65" t="str">
            <v>耐高温标签纸0.1MM</v>
          </cell>
          <cell r="E65" t="str">
            <v>东莞虹星新材料有限公司</v>
          </cell>
        </row>
        <row r="65">
          <cell r="G65">
            <v>510</v>
          </cell>
          <cell r="H65">
            <v>400</v>
          </cell>
          <cell r="I65">
            <v>60</v>
          </cell>
        </row>
        <row r="65">
          <cell r="L65" t="str">
            <v>卓丽华 
费先生</v>
          </cell>
          <cell r="M65" t="str">
            <v>136 6286 1207
18664074998</v>
          </cell>
          <cell r="N65" t="str">
            <v>广东省东莞市常平镇王竹仙路5号102室</v>
          </cell>
        </row>
        <row r="66">
          <cell r="D66" t="str">
            <v>罗杰斯泡棉4790-79RL-20016-04PBLK</v>
          </cell>
          <cell r="E66" t="str">
            <v>鼎鸿</v>
          </cell>
        </row>
        <row r="66">
          <cell r="G66">
            <v>1372</v>
          </cell>
          <cell r="H66">
            <v>91.44</v>
          </cell>
        </row>
        <row r="67">
          <cell r="D67" t="str">
            <v>3M 9448双面胶</v>
          </cell>
          <cell r="E67" t="str">
            <v>诚田城</v>
          </cell>
          <cell r="F67">
            <v>0.15</v>
          </cell>
          <cell r="G67">
            <v>1200</v>
          </cell>
          <cell r="H67">
            <v>50</v>
          </cell>
          <cell r="I67">
            <v>25.25</v>
          </cell>
        </row>
        <row r="68">
          <cell r="D68" t="str">
            <v>3M 4914-25双面胶</v>
          </cell>
          <cell r="E68" t="str">
            <v>诚田城</v>
          </cell>
          <cell r="F68">
            <v>0.25</v>
          </cell>
          <cell r="G68">
            <v>600</v>
          </cell>
          <cell r="H68">
            <v>33</v>
          </cell>
          <cell r="I68">
            <v>194.444444444444</v>
          </cell>
        </row>
        <row r="69">
          <cell r="D69" t="str">
            <v>3M9495LE</v>
          </cell>
          <cell r="E69" t="str">
            <v>诚田城</v>
          </cell>
          <cell r="F69">
            <v>0.17</v>
          </cell>
          <cell r="G69">
            <v>1372</v>
          </cell>
          <cell r="H69">
            <v>55</v>
          </cell>
          <cell r="I69">
            <v>38.6959978796714</v>
          </cell>
          <cell r="J69">
            <v>2920</v>
          </cell>
        </row>
        <row r="70">
          <cell r="D70" t="str">
            <v>3M5980-20</v>
          </cell>
          <cell r="E70" t="str">
            <v>诚田城</v>
          </cell>
          <cell r="F70">
            <v>0.2</v>
          </cell>
          <cell r="G70">
            <v>88</v>
          </cell>
          <cell r="H70">
            <v>66</v>
          </cell>
          <cell r="I70">
            <v>199.628099173554</v>
          </cell>
        </row>
        <row r="71">
          <cell r="D71" t="str">
            <v>3M 5952</v>
          </cell>
          <cell r="E71" t="str">
            <v>诚田城</v>
          </cell>
          <cell r="F71">
            <v>1.1</v>
          </cell>
          <cell r="G71">
            <v>600</v>
          </cell>
          <cell r="H71">
            <v>33</v>
          </cell>
          <cell r="I71">
            <v>239.9</v>
          </cell>
        </row>
        <row r="72">
          <cell r="D72" t="str">
            <v>tesa66824</v>
          </cell>
          <cell r="E72" t="str">
            <v>博纳泽</v>
          </cell>
        </row>
        <row r="72">
          <cell r="G72">
            <v>940</v>
          </cell>
          <cell r="H72">
            <v>100</v>
          </cell>
        </row>
        <row r="73">
          <cell r="D73" t="str">
            <v>tesa66822</v>
          </cell>
          <cell r="E73" t="str">
            <v>博纳泽</v>
          </cell>
        </row>
        <row r="73">
          <cell r="G73">
            <v>940</v>
          </cell>
          <cell r="H73">
            <v>100</v>
          </cell>
          <cell r="I73">
            <v>152.2</v>
          </cell>
        </row>
        <row r="74">
          <cell r="D74" t="str">
            <v>tesa68742</v>
          </cell>
          <cell r="E74" t="str">
            <v>博纳泽</v>
          </cell>
        </row>
        <row r="74">
          <cell r="G74">
            <v>1250</v>
          </cell>
          <cell r="H74">
            <v>200</v>
          </cell>
          <cell r="I74">
            <v>27.9</v>
          </cell>
        </row>
        <row r="75">
          <cell r="D75" t="str">
            <v>tesa62932</v>
          </cell>
          <cell r="E75" t="str">
            <v>博纳泽</v>
          </cell>
        </row>
        <row r="75">
          <cell r="G75">
            <v>1360</v>
          </cell>
          <cell r="H75">
            <v>50</v>
          </cell>
        </row>
        <row r="76">
          <cell r="D76" t="str">
            <v>tesa66826</v>
          </cell>
          <cell r="E76" t="str">
            <v>博纳泽</v>
          </cell>
        </row>
        <row r="76">
          <cell r="G76">
            <v>940</v>
          </cell>
          <cell r="H76">
            <v>100</v>
          </cell>
        </row>
        <row r="77">
          <cell r="D77" t="str">
            <v>tesa68740</v>
          </cell>
          <cell r="E77" t="str">
            <v>博纳泽</v>
          </cell>
        </row>
        <row r="77">
          <cell r="G77">
            <v>125</v>
          </cell>
          <cell r="H77">
            <v>200</v>
          </cell>
          <cell r="I77">
            <v>33</v>
          </cell>
        </row>
        <row r="78">
          <cell r="D78" t="str">
            <v>TLBM30(T)(25)(NZ)</v>
          </cell>
          <cell r="E78" t="str">
            <v>标冠</v>
          </cell>
          <cell r="F78">
            <v>0.03</v>
          </cell>
        </row>
        <row r="78">
          <cell r="K78">
            <v>13.5</v>
          </cell>
        </row>
        <row r="79">
          <cell r="D79" t="str">
            <v>HTLBM30(NZ)</v>
          </cell>
          <cell r="E79" t="str">
            <v>标冠</v>
          </cell>
          <cell r="F79">
            <v>0.03</v>
          </cell>
        </row>
        <row r="79">
          <cell r="K79">
            <v>13.5</v>
          </cell>
        </row>
        <row r="80">
          <cell r="D80" t="str">
            <v>TLBM10(T)(25)（NZ）0.01T#哑黑PET单面胶+25#透明底 </v>
          </cell>
          <cell r="E80" t="str">
            <v>标冠</v>
          </cell>
          <cell r="F80">
            <v>0.012</v>
          </cell>
        </row>
        <row r="81">
          <cell r="D81" t="str">
            <v>SVLBM80-W14OV</v>
          </cell>
          <cell r="E81" t="str">
            <v>标冠</v>
          </cell>
          <cell r="F81">
            <v>0.1</v>
          </cell>
          <cell r="G81">
            <v>1070</v>
          </cell>
          <cell r="H81">
            <v>100</v>
          </cell>
        </row>
        <row r="81">
          <cell r="K81">
            <v>15.6</v>
          </cell>
          <cell r="L81" t="str">
            <v> 陈辉</v>
          </cell>
          <cell r="M81">
            <v>13534182060</v>
          </cell>
        </row>
        <row r="82">
          <cell r="D82" t="str">
            <v>38°EVA 0.5mm</v>
          </cell>
          <cell r="E82" t="str">
            <v>繁中宝</v>
          </cell>
          <cell r="F82">
            <v>0.5</v>
          </cell>
          <cell r="G82">
            <v>1000</v>
          </cell>
          <cell r="H82">
            <v>100</v>
          </cell>
        </row>
        <row r="83">
          <cell r="D83" t="str">
            <v>38°EVA 0.8mm</v>
          </cell>
          <cell r="E83" t="str">
            <v>繁中宝</v>
          </cell>
          <cell r="F83">
            <v>0.8</v>
          </cell>
          <cell r="G83">
            <v>1000</v>
          </cell>
          <cell r="H83">
            <v>100</v>
          </cell>
        </row>
        <row r="84">
          <cell r="D84" t="str">
            <v>LX-LGD28</v>
          </cell>
          <cell r="E84" t="str">
            <v>洛翔电子</v>
          </cell>
          <cell r="F84">
            <v>0.05</v>
          </cell>
          <cell r="G84">
            <v>1070</v>
          </cell>
          <cell r="H84">
            <v>50</v>
          </cell>
          <cell r="I84">
            <v>38</v>
          </cell>
        </row>
        <row r="84">
          <cell r="L84" t="str">
            <v>兰刚</v>
          </cell>
          <cell r="M84">
            <v>18825269051</v>
          </cell>
        </row>
        <row r="85">
          <cell r="D85" t="str">
            <v>BK-MC0800B</v>
          </cell>
          <cell r="E85" t="str">
            <v>深圳市博克电子科技有限公司</v>
          </cell>
          <cell r="F85">
            <v>0.8</v>
          </cell>
          <cell r="G85">
            <v>1050</v>
          </cell>
          <cell r="H85">
            <v>50</v>
          </cell>
          <cell r="I85">
            <v>45</v>
          </cell>
        </row>
        <row r="86">
          <cell r="D86" t="str">
            <v>LX-LGD18</v>
          </cell>
          <cell r="E86" t="str">
            <v>洛翔电子</v>
          </cell>
          <cell r="F86">
            <v>0.05</v>
          </cell>
          <cell r="G86">
            <v>1070</v>
          </cell>
          <cell r="H86">
            <v>50</v>
          </cell>
          <cell r="I86">
            <v>33</v>
          </cell>
        </row>
        <row r="87">
          <cell r="D87" t="str">
            <v>LX-LGD05HB</v>
          </cell>
          <cell r="E87" t="str">
            <v>洛翔电子</v>
          </cell>
          <cell r="F87">
            <v>0.05</v>
          </cell>
          <cell r="G87">
            <v>1070</v>
          </cell>
          <cell r="H87">
            <v>50</v>
          </cell>
          <cell r="I87">
            <v>45</v>
          </cell>
        </row>
        <row r="88">
          <cell r="D88" t="str">
            <v>0.15mm绿色PET保护膜（GHT125150GH4)</v>
          </cell>
          <cell r="E88" t="str">
            <v>惠州广鸿电子</v>
          </cell>
          <cell r="F88">
            <v>0.15</v>
          </cell>
        </row>
        <row r="88">
          <cell r="I88">
            <v>7.3</v>
          </cell>
        </row>
        <row r="89">
          <cell r="D89" t="str">
            <v>HKD-DD-TP03D-N-03T</v>
          </cell>
          <cell r="E89" t="str">
            <v>亚龙兴</v>
          </cell>
          <cell r="F89">
            <v>0.03</v>
          </cell>
        </row>
        <row r="89">
          <cell r="I89">
            <v>65</v>
          </cell>
        </row>
        <row r="90">
          <cell r="D90" t="str">
            <v>红色PE膜</v>
          </cell>
          <cell r="E90" t="str">
            <v>深圳市安祺包装材料有限公司</v>
          </cell>
        </row>
        <row r="90">
          <cell r="M90" t="str">
            <v>13641478769，王生</v>
          </cell>
        </row>
        <row r="91">
          <cell r="D91" t="str">
            <v>BK-ME040B</v>
          </cell>
          <cell r="E91" t="str">
            <v>深圳市博克电子科技有限公司</v>
          </cell>
          <cell r="F91">
            <v>0.4</v>
          </cell>
          <cell r="G91">
            <v>1050</v>
          </cell>
          <cell r="H91">
            <v>50</v>
          </cell>
        </row>
        <row r="92">
          <cell r="D92" t="str">
            <v>GHB5060BLL1  (100~200g)</v>
          </cell>
          <cell r="E92" t="str">
            <v>惠州广鸿电子</v>
          </cell>
          <cell r="F92">
            <v>0.06</v>
          </cell>
        </row>
        <row r="93">
          <cell r="D93" t="str">
            <v>GPL-110GF</v>
          </cell>
          <cell r="E93" t="str">
            <v>硕源</v>
          </cell>
          <cell r="F93">
            <v>1.1</v>
          </cell>
          <cell r="G93">
            <v>600</v>
          </cell>
          <cell r="H93">
            <v>33</v>
          </cell>
          <cell r="I93">
            <v>154.040404040404</v>
          </cell>
        </row>
        <row r="94">
          <cell r="D94" t="str">
            <v>GPL-160GF</v>
          </cell>
          <cell r="E94" t="str">
            <v>硕源</v>
          </cell>
          <cell r="F94">
            <v>0.16</v>
          </cell>
          <cell r="G94">
            <v>600</v>
          </cell>
          <cell r="H94">
            <v>16.5</v>
          </cell>
          <cell r="I94">
            <v>1980</v>
          </cell>
        </row>
        <row r="95">
          <cell r="D95" t="str">
            <v>5611N-GF</v>
          </cell>
          <cell r="E95" t="str">
            <v>硕源</v>
          </cell>
        </row>
        <row r="95">
          <cell r="G95">
            <v>600</v>
          </cell>
          <cell r="H95">
            <v>33</v>
          </cell>
          <cell r="I95">
            <v>126.262626262626</v>
          </cell>
        </row>
        <row r="96">
          <cell r="D96" t="str">
            <v>GTM710P</v>
          </cell>
          <cell r="E96" t="str">
            <v>硕源</v>
          </cell>
        </row>
        <row r="96">
          <cell r="G96">
            <v>1200</v>
          </cell>
          <cell r="H96">
            <v>50</v>
          </cell>
          <cell r="I96">
            <v>2500</v>
          </cell>
        </row>
        <row r="97">
          <cell r="D97" t="str">
            <v>7967G </v>
          </cell>
          <cell r="E97" t="str">
            <v>皇冠</v>
          </cell>
        </row>
        <row r="97">
          <cell r="I97">
            <v>15.5</v>
          </cell>
        </row>
        <row r="98">
          <cell r="D98">
            <v>77204</v>
          </cell>
          <cell r="E98" t="str">
            <v>硕源</v>
          </cell>
        </row>
        <row r="98">
          <cell r="G98">
            <v>900</v>
          </cell>
          <cell r="H98">
            <v>33</v>
          </cell>
          <cell r="I98">
            <v>3750</v>
          </cell>
        </row>
        <row r="99">
          <cell r="D99" t="str">
            <v>HTLBM25 T=0.05</v>
          </cell>
          <cell r="E99" t="str">
            <v>标冠</v>
          </cell>
          <cell r="F99">
            <v>0.05</v>
          </cell>
          <cell r="G99">
            <v>1070</v>
          </cell>
          <cell r="H99">
            <v>400</v>
          </cell>
        </row>
        <row r="99">
          <cell r="K99">
            <v>7.8</v>
          </cell>
        </row>
        <row r="100">
          <cell r="D100" t="str">
            <v>YLX-0504T-DP-Y</v>
          </cell>
          <cell r="E100" t="str">
            <v>亚龙兴</v>
          </cell>
          <cell r="F100">
            <v>0.05</v>
          </cell>
          <cell r="G100">
            <v>1070</v>
          </cell>
          <cell r="H100">
            <v>50</v>
          </cell>
          <cell r="I100">
            <v>62</v>
          </cell>
        </row>
        <row r="101">
          <cell r="D101" t="str">
            <v>CHY6502</v>
          </cell>
          <cell r="E101" t="str">
            <v>创业鸿</v>
          </cell>
          <cell r="F101">
            <v>0.06</v>
          </cell>
          <cell r="G101">
            <v>1200</v>
          </cell>
          <cell r="H101">
            <v>400</v>
          </cell>
          <cell r="I101">
            <v>7.2</v>
          </cell>
        </row>
        <row r="102">
          <cell r="D102" t="str">
            <v>BK-MC1000B</v>
          </cell>
          <cell r="E102" t="str">
            <v>博克</v>
          </cell>
          <cell r="F102">
            <v>0.1</v>
          </cell>
          <cell r="G102">
            <v>1050</v>
          </cell>
          <cell r="H102">
            <v>25</v>
          </cell>
          <cell r="I102">
            <v>45</v>
          </cell>
        </row>
        <row r="103">
          <cell r="D103" t="str">
            <v>GPH160GF</v>
          </cell>
          <cell r="E103" t="str">
            <v>诚田城</v>
          </cell>
          <cell r="F103">
            <v>1.6</v>
          </cell>
          <cell r="G103">
            <v>570</v>
          </cell>
          <cell r="H103">
            <v>33</v>
          </cell>
          <cell r="I103" t="str">
            <v>4570
（242.9/平方）</v>
          </cell>
        </row>
        <row r="104">
          <cell r="D104" t="str">
            <v>GPH160GF</v>
          </cell>
          <cell r="E104" t="str">
            <v>硕源</v>
          </cell>
          <cell r="F104">
            <v>1.6</v>
          </cell>
          <cell r="G104">
            <v>570</v>
          </cell>
          <cell r="H104">
            <v>33</v>
          </cell>
          <cell r="I104">
            <v>4550</v>
          </cell>
        </row>
        <row r="105">
          <cell r="D105" t="str">
            <v>GTM705P</v>
          </cell>
          <cell r="E105" t="str">
            <v>硕源</v>
          </cell>
        </row>
        <row r="105">
          <cell r="G105">
            <v>1200</v>
          </cell>
          <cell r="H105">
            <v>50</v>
          </cell>
          <cell r="I105">
            <v>27.6666666666667</v>
          </cell>
        </row>
        <row r="106">
          <cell r="D106" t="str">
            <v>1.0黑砂整支25散料27.5</v>
          </cell>
          <cell r="E106" t="str">
            <v>信越</v>
          </cell>
        </row>
        <row r="107">
          <cell r="D107" t="str">
            <v>0.8黑 喷油整支34散料36一平方不含税</v>
          </cell>
          <cell r="E107" t="str">
            <v>信越</v>
          </cell>
        </row>
        <row r="108">
          <cell r="D108" t="str">
            <v>0.9黑砂整支24散料26</v>
          </cell>
          <cell r="E108" t="str">
            <v>信越</v>
          </cell>
        </row>
        <row r="109">
          <cell r="D109" t="str">
            <v>0.03mm导电布</v>
          </cell>
          <cell r="E109" t="str">
            <v>洛翔电子</v>
          </cell>
          <cell r="F109">
            <v>0.03</v>
          </cell>
          <cell r="G109">
            <v>1070</v>
          </cell>
          <cell r="H109">
            <v>50</v>
          </cell>
          <cell r="I109">
            <v>55</v>
          </cell>
        </row>
        <row r="110">
          <cell r="D110" t="str">
            <v>3MVHB 4910</v>
          </cell>
          <cell r="E110" t="str">
            <v>硕源</v>
          </cell>
        </row>
        <row r="110">
          <cell r="G110">
            <v>600</v>
          </cell>
          <cell r="H110">
            <v>33</v>
          </cell>
          <cell r="I110">
            <v>290.40404040404</v>
          </cell>
        </row>
        <row r="111">
          <cell r="D111" t="str">
            <v>0.8黑 喷油整支34散料36一平方不含税</v>
          </cell>
        </row>
        <row r="112">
          <cell r="D112" t="str">
            <v>MT-40</v>
          </cell>
          <cell r="E112" t="str">
            <v>华诚胶粘</v>
          </cell>
        </row>
        <row r="112">
          <cell r="I112">
            <v>95</v>
          </cell>
        </row>
        <row r="113">
          <cell r="D113" t="str">
            <v>3M 4920 </v>
          </cell>
          <cell r="E113" t="str">
            <v>硕源</v>
          </cell>
          <cell r="F113">
            <v>0.4</v>
          </cell>
          <cell r="G113">
            <v>600</v>
          </cell>
          <cell r="H113">
            <v>33</v>
          </cell>
          <cell r="I113">
            <v>176.767676767677</v>
          </cell>
        </row>
        <row r="114">
          <cell r="D114" t="str">
            <v>3M VHB 5915   </v>
          </cell>
          <cell r="E114" t="str">
            <v>硕源</v>
          </cell>
          <cell r="F114">
            <v>0.4</v>
          </cell>
          <cell r="G114">
            <v>584</v>
          </cell>
          <cell r="H114">
            <v>33</v>
          </cell>
          <cell r="I114">
            <v>4200</v>
          </cell>
        </row>
        <row r="115">
          <cell r="D115" t="str">
            <v>TESA 75630</v>
          </cell>
          <cell r="E115" t="str">
            <v>博纳泽</v>
          </cell>
          <cell r="F115">
            <v>0.1</v>
          </cell>
          <cell r="G115">
            <v>1240</v>
          </cell>
          <cell r="H115">
            <v>50</v>
          </cell>
          <cell r="I115">
            <v>171.2</v>
          </cell>
        </row>
        <row r="116">
          <cell r="D116" t="str">
            <v>FYZ-S50BP</v>
          </cell>
          <cell r="E116" t="str">
            <v>富印</v>
          </cell>
        </row>
        <row r="116">
          <cell r="I116">
            <v>63</v>
          </cell>
        </row>
        <row r="117">
          <cell r="D117" t="str">
            <v>TESA 4982 </v>
          </cell>
        </row>
        <row r="117">
          <cell r="F117">
            <v>0.1</v>
          </cell>
          <cell r="G117">
            <v>1320</v>
          </cell>
          <cell r="H117">
            <v>100</v>
          </cell>
          <cell r="I117">
            <v>48.2</v>
          </cell>
        </row>
        <row r="118">
          <cell r="D118" t="str">
            <v>0.188PET原膜</v>
          </cell>
        </row>
        <row r="118">
          <cell r="F118">
            <v>0.5</v>
          </cell>
          <cell r="G118">
            <v>980</v>
          </cell>
          <cell r="H118">
            <v>40</v>
          </cell>
          <cell r="I118">
            <v>3.15</v>
          </cell>
        </row>
        <row r="119">
          <cell r="D119" t="str">
            <v>积水5250PSB</v>
          </cell>
          <cell r="E119" t="str">
            <v>利泰源</v>
          </cell>
          <cell r="F119">
            <v>0.5</v>
          </cell>
          <cell r="G119">
            <v>980</v>
          </cell>
          <cell r="H119">
            <v>40</v>
          </cell>
          <cell r="I119">
            <v>186</v>
          </cell>
        </row>
        <row r="120">
          <cell r="D120" t="str">
            <v>蓝色马拉胶带</v>
          </cell>
          <cell r="E120" t="str">
            <v>亿福利</v>
          </cell>
        </row>
        <row r="120">
          <cell r="G120">
            <v>1270</v>
          </cell>
          <cell r="H120">
            <v>300</v>
          </cell>
          <cell r="I120">
            <v>2.8</v>
          </cell>
        </row>
        <row r="121">
          <cell r="D121" t="str">
            <v>红色马拉胶带</v>
          </cell>
          <cell r="E121" t="str">
            <v>亿福利</v>
          </cell>
        </row>
        <row r="121">
          <cell r="G121">
            <v>1270</v>
          </cell>
          <cell r="H121">
            <v>300</v>
          </cell>
          <cell r="I121">
            <v>2.8</v>
          </cell>
        </row>
        <row r="122">
          <cell r="D122" t="str">
            <v>OPP透明胶带</v>
          </cell>
          <cell r="E122" t="str">
            <v>亿福利</v>
          </cell>
        </row>
        <row r="122">
          <cell r="G122">
            <v>1260</v>
          </cell>
          <cell r="H122">
            <v>500</v>
          </cell>
          <cell r="I122">
            <v>0.88</v>
          </cell>
        </row>
        <row r="123">
          <cell r="D123" t="str">
            <v>0.05单层亚克力保护膜（1-3g）</v>
          </cell>
          <cell r="E123" t="str">
            <v>亿福利</v>
          </cell>
          <cell r="F123">
            <v>0.05</v>
          </cell>
          <cell r="G123">
            <v>1250</v>
          </cell>
          <cell r="H123">
            <v>200</v>
          </cell>
          <cell r="I123">
            <v>1.7</v>
          </cell>
        </row>
        <row r="124">
          <cell r="D124" t="str">
            <v>美纹胶带</v>
          </cell>
          <cell r="E124" t="str">
            <v>亿福利</v>
          </cell>
        </row>
        <row r="124">
          <cell r="G124">
            <v>1250</v>
          </cell>
          <cell r="H124">
            <v>150</v>
          </cell>
          <cell r="I124">
            <v>2.7</v>
          </cell>
        </row>
        <row r="125">
          <cell r="D125" t="str">
            <v>PET撕膜胶带</v>
          </cell>
          <cell r="E125" t="str">
            <v>亿福利</v>
          </cell>
        </row>
        <row r="125">
          <cell r="G125">
            <v>80</v>
          </cell>
          <cell r="H125">
            <v>200</v>
          </cell>
          <cell r="I125">
            <v>1.75</v>
          </cell>
        </row>
        <row r="126">
          <cell r="D126" t="str">
            <v>0.06绿色硅胶带</v>
          </cell>
          <cell r="E126" t="str">
            <v>亿福利</v>
          </cell>
          <cell r="F126">
            <v>0.06</v>
          </cell>
          <cell r="G126">
            <v>166</v>
          </cell>
          <cell r="H126">
            <v>66</v>
          </cell>
          <cell r="I126">
            <v>5.2</v>
          </cell>
        </row>
        <row r="127">
          <cell r="D127" t="str">
            <v>0.3黑色泡棉胶</v>
          </cell>
          <cell r="E127" t="str">
            <v>亿福利</v>
          </cell>
          <cell r="F127">
            <v>0.3</v>
          </cell>
          <cell r="G127">
            <v>100</v>
          </cell>
          <cell r="H127">
            <v>500</v>
          </cell>
          <cell r="I127">
            <v>28</v>
          </cell>
        </row>
        <row r="128">
          <cell r="D128" t="str">
            <v>0.4t4GVHB泡棉胶</v>
          </cell>
          <cell r="E128" t="str">
            <v>亿福利</v>
          </cell>
          <cell r="F128">
            <v>0.4</v>
          </cell>
          <cell r="G128">
            <v>840</v>
          </cell>
          <cell r="H128">
            <v>33</v>
          </cell>
          <cell r="I128">
            <v>31.5</v>
          </cell>
        </row>
        <row r="129">
          <cell r="D129" t="str">
            <v>0.075透明原膜</v>
          </cell>
          <cell r="E129" t="str">
            <v>亿福利</v>
          </cell>
          <cell r="F129">
            <v>0.075</v>
          </cell>
          <cell r="G129">
            <v>1090</v>
          </cell>
          <cell r="H129">
            <v>50</v>
          </cell>
          <cell r="I129">
            <v>2.5</v>
          </cell>
        </row>
        <row r="130">
          <cell r="D130" t="str">
            <v>0.05透明硅胶保护膜200-400G</v>
          </cell>
          <cell r="E130" t="str">
            <v>深源</v>
          </cell>
          <cell r="F130">
            <v>0.05</v>
          </cell>
          <cell r="G130">
            <v>1090</v>
          </cell>
          <cell r="H130">
            <v>200</v>
          </cell>
          <cell r="I130">
            <v>4.5</v>
          </cell>
        </row>
        <row r="131">
          <cell r="D131" t="str">
            <v>0.05透明硅胶保护膜3-5G</v>
          </cell>
          <cell r="E131" t="str">
            <v>深源</v>
          </cell>
          <cell r="F131">
            <v>0.05</v>
          </cell>
          <cell r="G131">
            <v>1090</v>
          </cell>
          <cell r="H131">
            <v>200</v>
          </cell>
          <cell r="I131">
            <v>3</v>
          </cell>
        </row>
        <row r="132">
          <cell r="D132" t="str">
            <v>0.05透明亚克力保护膜1-3G
交3-5G粘性</v>
          </cell>
          <cell r="E132" t="str">
            <v>深源</v>
          </cell>
          <cell r="F132">
            <v>0.05</v>
          </cell>
          <cell r="G132">
            <v>1090</v>
          </cell>
          <cell r="H132">
            <v>200</v>
          </cell>
          <cell r="I132">
            <v>1.5</v>
          </cell>
        </row>
        <row r="133">
          <cell r="D133" t="str">
            <v>0.05透明亚克力保护膜5-10G</v>
          </cell>
          <cell r="E133" t="str">
            <v>深源</v>
          </cell>
          <cell r="F133">
            <v>0.05</v>
          </cell>
          <cell r="G133">
            <v>1090</v>
          </cell>
          <cell r="H133">
            <v>200</v>
          </cell>
          <cell r="I133">
            <v>1.5</v>
          </cell>
        </row>
        <row r="134">
          <cell r="D134" t="str">
            <v>0.05透明原膜</v>
          </cell>
          <cell r="E134" t="str">
            <v>深源</v>
          </cell>
          <cell r="F134">
            <v>0.05</v>
          </cell>
          <cell r="G134">
            <v>1090</v>
          </cell>
          <cell r="H134">
            <v>200</v>
          </cell>
          <cell r="I134">
            <v>1.1</v>
          </cell>
        </row>
        <row r="135">
          <cell r="D135" t="str">
            <v>0.2黑色PET(两面光滑）</v>
          </cell>
          <cell r="E135" t="str">
            <v>深源</v>
          </cell>
          <cell r="F135">
            <v>0.2</v>
          </cell>
        </row>
        <row r="135">
          <cell r="I135">
            <v>6.5</v>
          </cell>
        </row>
        <row r="136">
          <cell r="D136" t="str">
            <v>0.075透明亚克力保护膜3-5G</v>
          </cell>
          <cell r="E136" t="str">
            <v>深源</v>
          </cell>
          <cell r="F136">
            <v>0.075</v>
          </cell>
          <cell r="G136">
            <v>1090</v>
          </cell>
          <cell r="H136">
            <v>200</v>
          </cell>
          <cell r="I136">
            <v>2.2</v>
          </cell>
        </row>
        <row r="137">
          <cell r="D137" t="str">
            <v>0.075透明亚克力保护膜5-10G</v>
          </cell>
          <cell r="E137" t="str">
            <v>深源</v>
          </cell>
          <cell r="F137">
            <v>0.075</v>
          </cell>
          <cell r="G137">
            <v>1090</v>
          </cell>
          <cell r="H137">
            <v>200</v>
          </cell>
          <cell r="I137">
            <v>2.2</v>
          </cell>
        </row>
        <row r="138">
          <cell r="D138" t="str">
            <v>0.075蓝色双层硅胶保护膜20-30G </v>
          </cell>
          <cell r="E138" t="str">
            <v>深源</v>
          </cell>
          <cell r="F138">
            <v>0.075</v>
          </cell>
          <cell r="G138">
            <v>1090</v>
          </cell>
          <cell r="H138">
            <v>200</v>
          </cell>
          <cell r="I138">
            <v>6.3</v>
          </cell>
        </row>
        <row r="139">
          <cell r="D139" t="str">
            <v>0.025哑光离型膜 1-3g</v>
          </cell>
          <cell r="E139" t="str">
            <v>深源</v>
          </cell>
          <cell r="F139">
            <v>0.025</v>
          </cell>
          <cell r="G139">
            <v>1090</v>
          </cell>
          <cell r="H139">
            <v>200</v>
          </cell>
          <cell r="I139">
            <v>1.3</v>
          </cell>
        </row>
        <row r="140">
          <cell r="D140" t="str">
            <v>0.075蓝色离型膜40-60G</v>
          </cell>
          <cell r="E140" t="str">
            <v>深源</v>
          </cell>
          <cell r="F140">
            <v>0.075</v>
          </cell>
          <cell r="G140">
            <v>1090</v>
          </cell>
          <cell r="H140">
            <v>200</v>
          </cell>
          <cell r="I140">
            <v>3.5</v>
          </cell>
        </row>
        <row r="141">
          <cell r="D141" t="str">
            <v>0.075透明双层硅胶保护膜5-10G</v>
          </cell>
          <cell r="E141" t="str">
            <v>深源</v>
          </cell>
          <cell r="F141">
            <v>0.075</v>
          </cell>
          <cell r="G141">
            <v>1090</v>
          </cell>
          <cell r="H141">
            <v>200</v>
          </cell>
          <cell r="I141">
            <v>5</v>
          </cell>
        </row>
        <row r="142">
          <cell r="D142" t="str">
            <v>0.05透明PE网纹膜3-5G</v>
          </cell>
          <cell r="E142" t="str">
            <v>深源</v>
          </cell>
          <cell r="F142">
            <v>0.05</v>
          </cell>
          <cell r="G142">
            <v>1090</v>
          </cell>
          <cell r="H142">
            <v>200</v>
          </cell>
          <cell r="I142">
            <v>1</v>
          </cell>
        </row>
        <row r="143">
          <cell r="D143" t="str">
            <v>0.075透明亚克力保护膜10-20G</v>
          </cell>
          <cell r="E143" t="str">
            <v>深源</v>
          </cell>
          <cell r="F143">
            <v>0.075</v>
          </cell>
          <cell r="G143">
            <v>1090</v>
          </cell>
          <cell r="H143">
            <v>200</v>
          </cell>
          <cell r="I143">
            <v>2.1</v>
          </cell>
        </row>
        <row r="144">
          <cell r="D144" t="str">
            <v>0.09透明PU胶 1-3g</v>
          </cell>
          <cell r="E144" t="str">
            <v>深源</v>
          </cell>
          <cell r="F144">
            <v>0.09</v>
          </cell>
          <cell r="G144">
            <v>1090</v>
          </cell>
          <cell r="H144">
            <v>200</v>
          </cell>
          <cell r="I144">
            <v>7</v>
          </cell>
        </row>
        <row r="145">
          <cell r="D145" t="str">
            <v>9505D保护膜</v>
          </cell>
          <cell r="E145" t="str">
            <v>润 邦</v>
          </cell>
        </row>
        <row r="145">
          <cell r="G145">
            <v>100</v>
          </cell>
          <cell r="H145">
            <v>200</v>
          </cell>
        </row>
        <row r="146">
          <cell r="D146" t="str">
            <v>离型纸</v>
          </cell>
          <cell r="E146" t="str">
            <v>启彤</v>
          </cell>
        </row>
        <row r="146">
          <cell r="G146">
            <v>1020</v>
          </cell>
          <cell r="H146">
            <v>400</v>
          </cell>
        </row>
        <row r="147">
          <cell r="D147" t="str">
            <v>白色格拉辛3-5GT=0.06MM</v>
          </cell>
          <cell r="E147" t="str">
            <v>平实胶粘</v>
          </cell>
          <cell r="F147">
            <v>0.06</v>
          </cell>
          <cell r="G147">
            <v>1090</v>
          </cell>
          <cell r="H147">
            <v>300</v>
          </cell>
          <cell r="I147">
            <v>1.2</v>
          </cell>
        </row>
        <row r="148">
          <cell r="D148" t="str">
            <v>白色格拉辛3-5GT=0.08MM</v>
          </cell>
          <cell r="E148" t="str">
            <v>平实胶粘</v>
          </cell>
          <cell r="F148">
            <v>0.08</v>
          </cell>
          <cell r="G148">
            <v>1090</v>
          </cell>
          <cell r="H148">
            <v>300</v>
          </cell>
          <cell r="I148">
            <v>1.5</v>
          </cell>
        </row>
        <row r="149">
          <cell r="D149" t="str">
            <v>0.04 PVC 静电膜</v>
          </cell>
          <cell r="E149" t="str">
            <v>鸿辉腾</v>
          </cell>
        </row>
        <row r="149">
          <cell r="G149">
            <v>1240</v>
          </cell>
          <cell r="H149">
            <v>400</v>
          </cell>
        </row>
        <row r="150">
          <cell r="D150" t="str">
            <v>0.05  PE膜（100g)</v>
          </cell>
          <cell r="E150" t="str">
            <v>鸿辉腾</v>
          </cell>
          <cell r="F150">
            <v>0.05</v>
          </cell>
          <cell r="G150">
            <v>1280</v>
          </cell>
          <cell r="H150">
            <v>200</v>
          </cell>
          <cell r="I150">
            <v>1.1</v>
          </cell>
        </row>
        <row r="151">
          <cell r="D151" t="str">
            <v>0.05 PE网纹膜（5-10G)</v>
          </cell>
          <cell r="E151" t="str">
            <v>鸿辉腾</v>
          </cell>
          <cell r="F151">
            <v>0.05</v>
          </cell>
          <cell r="G151">
            <v>1200</v>
          </cell>
          <cell r="H151">
            <v>200</v>
          </cell>
          <cell r="I151">
            <v>1.1</v>
          </cell>
        </row>
        <row r="152">
          <cell r="D152" t="str">
            <v>0.05透明PE保护膜1-3G</v>
          </cell>
          <cell r="E152" t="str">
            <v>鸿辉腾</v>
          </cell>
          <cell r="F152">
            <v>0.05</v>
          </cell>
          <cell r="G152">
            <v>1240</v>
          </cell>
          <cell r="H152">
            <v>200</v>
          </cell>
        </row>
        <row r="152">
          <cell r="K152">
            <v>1</v>
          </cell>
        </row>
        <row r="153">
          <cell r="D153" t="str">
            <v>蓝色PE保护膜1-3G</v>
          </cell>
          <cell r="E153" t="str">
            <v>鸿辉腾</v>
          </cell>
          <cell r="F153">
            <v>0.05</v>
          </cell>
          <cell r="G153">
            <v>1240</v>
          </cell>
          <cell r="H153">
            <v>200</v>
          </cell>
        </row>
        <row r="153">
          <cell r="K153">
            <v>1</v>
          </cell>
          <cell r="L153" t="str">
            <v>凌先生</v>
          </cell>
        </row>
        <row r="154">
          <cell r="D154" t="str">
            <v>0.08单硅格拉辛</v>
          </cell>
          <cell r="E154" t="str">
            <v>恒聪</v>
          </cell>
          <cell r="F154">
            <v>0.08</v>
          </cell>
          <cell r="G154">
            <v>1090</v>
          </cell>
          <cell r="H154">
            <v>100</v>
          </cell>
        </row>
        <row r="155">
          <cell r="D155" t="str">
            <v>0.1蓝色离型膜30-40G（离型面朝外）</v>
          </cell>
          <cell r="E155" t="str">
            <v>恒聪</v>
          </cell>
          <cell r="F155">
            <v>0.1</v>
          </cell>
          <cell r="G155">
            <v>1090</v>
          </cell>
          <cell r="H155">
            <v>200</v>
          </cell>
          <cell r="I155">
            <v>4.8</v>
          </cell>
        </row>
        <row r="156">
          <cell r="D156" t="str">
            <v>0.075透明离型膜3~5g</v>
          </cell>
          <cell r="E156" t="str">
            <v>恒聪</v>
          </cell>
          <cell r="F156">
            <v>0.08</v>
          </cell>
          <cell r="G156">
            <v>1090</v>
          </cell>
          <cell r="H156">
            <v>200</v>
          </cell>
          <cell r="I156">
            <v>2.8</v>
          </cell>
        </row>
        <row r="157">
          <cell r="D157" t="str">
            <v>0.08单硅格拉辛60-100G</v>
          </cell>
          <cell r="E157" t="str">
            <v>恒聪</v>
          </cell>
        </row>
        <row r="157">
          <cell r="G157">
            <v>1090</v>
          </cell>
          <cell r="H157">
            <v>100</v>
          </cell>
          <cell r="I157">
            <v>2.3</v>
          </cell>
        </row>
        <row r="158">
          <cell r="D158" t="str">
            <v>120G白色格拉辛3-5</v>
          </cell>
          <cell r="E158" t="str">
            <v>恒聪</v>
          </cell>
        </row>
        <row r="158">
          <cell r="G158">
            <v>1090</v>
          </cell>
          <cell r="H158">
            <v>200</v>
          </cell>
          <cell r="I158">
            <v>2.5</v>
          </cell>
        </row>
        <row r="159">
          <cell r="D159" t="str">
            <v>0.05茶色硅胶保护膜600G</v>
          </cell>
          <cell r="E159" t="str">
            <v>博卡</v>
          </cell>
          <cell r="F159">
            <v>0.05</v>
          </cell>
        </row>
        <row r="159">
          <cell r="I159">
            <v>7.5</v>
          </cell>
        </row>
        <row r="159">
          <cell r="L159" t="str">
            <v>刘小姐</v>
          </cell>
          <cell r="M159">
            <v>13433024256</v>
          </cell>
        </row>
        <row r="160">
          <cell r="D160" t="str">
            <v>FU-500150AS</v>
          </cell>
          <cell r="E160" t="str">
            <v>羽邦</v>
          </cell>
          <cell r="F160">
            <v>0.06</v>
          </cell>
          <cell r="G160">
            <v>1200</v>
          </cell>
          <cell r="H160">
            <v>200</v>
          </cell>
          <cell r="I160">
            <v>6.8</v>
          </cell>
        </row>
        <row r="161">
          <cell r="D161" t="str">
            <v>PSR-10</v>
          </cell>
        </row>
        <row r="161">
          <cell r="F161">
            <v>1</v>
          </cell>
          <cell r="G161">
            <v>520</v>
          </cell>
          <cell r="H161">
            <v>100</v>
          </cell>
          <cell r="I161">
            <v>70</v>
          </cell>
        </row>
        <row r="162">
          <cell r="D162" t="str">
            <v>GPL-060GF</v>
          </cell>
          <cell r="E162" t="str">
            <v>硕源</v>
          </cell>
        </row>
        <row r="162">
          <cell r="G162">
            <v>600</v>
          </cell>
          <cell r="H162">
            <v>33</v>
          </cell>
          <cell r="I162">
            <v>123.737373737374</v>
          </cell>
        </row>
        <row r="163">
          <cell r="D163" t="str">
            <v>0.1蓝色离型膜30-40G</v>
          </cell>
          <cell r="E163" t="str">
            <v>恒聪</v>
          </cell>
          <cell r="F163">
            <v>0.1</v>
          </cell>
          <cell r="G163">
            <v>1090</v>
          </cell>
          <cell r="H163">
            <v>200</v>
          </cell>
          <cell r="I163">
            <v>4.8</v>
          </cell>
        </row>
        <row r="164">
          <cell r="D164" t="str">
            <v>积水5240PSB</v>
          </cell>
          <cell r="E164" t="str">
            <v>利泰源</v>
          </cell>
          <cell r="F164">
            <v>0.4</v>
          </cell>
          <cell r="G164">
            <v>980</v>
          </cell>
          <cell r="H164">
            <v>50</v>
          </cell>
          <cell r="I164">
            <v>190</v>
          </cell>
        </row>
        <row r="165">
          <cell r="D165" t="str">
            <v>0.075mm 透明离型膜3-5g</v>
          </cell>
          <cell r="E165" t="str">
            <v>深源</v>
          </cell>
          <cell r="F165">
            <v>0.075</v>
          </cell>
          <cell r="G165">
            <v>1090</v>
          </cell>
          <cell r="H165">
            <v>200</v>
          </cell>
          <cell r="I165">
            <v>3.5</v>
          </cell>
        </row>
        <row r="166">
          <cell r="D166" t="str">
            <v>积水5220PSB</v>
          </cell>
          <cell r="E166" t="str">
            <v>利泰源</v>
          </cell>
          <cell r="F166">
            <v>0.2</v>
          </cell>
          <cell r="G166">
            <v>980</v>
          </cell>
          <cell r="H166">
            <v>50</v>
          </cell>
          <cell r="I166">
            <v>190</v>
          </cell>
        </row>
        <row r="167">
          <cell r="D167" t="str">
            <v>GTM720P  1200*50  3750含税</v>
          </cell>
          <cell r="E167" t="str">
            <v>硕源</v>
          </cell>
          <cell r="F167">
            <v>0.2</v>
          </cell>
          <cell r="G167">
            <v>1200</v>
          </cell>
          <cell r="H167">
            <v>50</v>
          </cell>
          <cell r="I167">
            <v>62.5</v>
          </cell>
        </row>
        <row r="168">
          <cell r="D168" t="str">
            <v>75u透明双硅离型膜1-3g</v>
          </cell>
          <cell r="E168" t="str">
            <v>亿福利</v>
          </cell>
          <cell r="F168">
            <v>0.075</v>
          </cell>
          <cell r="G168">
            <v>1090</v>
          </cell>
          <cell r="H168">
            <v>200</v>
          </cell>
          <cell r="I168">
            <v>4.3</v>
          </cell>
        </row>
        <row r="169">
          <cell r="D169" t="str">
            <v>PFDS753-020</v>
          </cell>
          <cell r="E169" t="str">
            <v>皇冠</v>
          </cell>
          <cell r="F169">
            <v>0.2</v>
          </cell>
          <cell r="G169">
            <v>1020</v>
          </cell>
          <cell r="H169">
            <v>100</v>
          </cell>
          <cell r="I169">
            <v>36.5</v>
          </cell>
        </row>
        <row r="170">
          <cell r="D170" t="str">
            <v>3M 9495MP T=0.13mm</v>
          </cell>
          <cell r="E170" t="str">
            <v>诚田城</v>
          </cell>
          <cell r="F170">
            <v>0.13</v>
          </cell>
          <cell r="G170">
            <v>1370</v>
          </cell>
          <cell r="H170">
            <v>55</v>
          </cell>
          <cell r="I170">
            <v>29.8606502986065</v>
          </cell>
        </row>
        <row r="171">
          <cell r="D171" t="str">
            <v>BK-GXN0400B </v>
          </cell>
          <cell r="E171" t="str">
            <v>博克</v>
          </cell>
          <cell r="F171">
            <v>0.4</v>
          </cell>
          <cell r="G171">
            <v>1050</v>
          </cell>
          <cell r="H171">
            <v>50</v>
          </cell>
          <cell r="I171">
            <v>38</v>
          </cell>
        </row>
        <row r="172">
          <cell r="D172" t="str">
            <v>JL-B1000PA</v>
          </cell>
          <cell r="E172" t="str">
            <v>锦龙</v>
          </cell>
          <cell r="F172">
            <v>0.06</v>
          </cell>
          <cell r="G172">
            <v>1250</v>
          </cell>
          <cell r="H172">
            <v>100</v>
          </cell>
          <cell r="I172">
            <v>150</v>
          </cell>
        </row>
        <row r="173">
          <cell r="D173" t="str">
            <v>HC-Z03</v>
          </cell>
          <cell r="E173" t="str">
            <v>华诚胶粘</v>
          </cell>
          <cell r="F173">
            <v>0.03</v>
          </cell>
          <cell r="G173">
            <v>1070</v>
          </cell>
          <cell r="H173">
            <v>100</v>
          </cell>
          <cell r="I173">
            <v>10</v>
          </cell>
        </row>
        <row r="174">
          <cell r="D174" t="str">
            <v>TESA8854</v>
          </cell>
          <cell r="E174" t="str">
            <v>博纳泽</v>
          </cell>
          <cell r="F174">
            <v>0.1</v>
          </cell>
          <cell r="G174">
            <v>1250</v>
          </cell>
          <cell r="H174">
            <v>100</v>
          </cell>
          <cell r="I174">
            <v>36.8</v>
          </cell>
        </row>
        <row r="175">
          <cell r="D175" t="str">
            <v>TDS-YLX-DD-003-N</v>
          </cell>
          <cell r="E175" t="str">
            <v>亚龙兴</v>
          </cell>
          <cell r="F175">
            <v>0.03</v>
          </cell>
          <cell r="G175">
            <v>520</v>
          </cell>
          <cell r="H175">
            <v>100</v>
          </cell>
          <cell r="I175">
            <v>45</v>
          </cell>
        </row>
        <row r="176">
          <cell r="D176" t="str">
            <v>HC-Z01</v>
          </cell>
          <cell r="E176" t="str">
            <v>华诚胶粘</v>
          </cell>
          <cell r="F176">
            <v>0.01</v>
          </cell>
          <cell r="G176">
            <v>520</v>
          </cell>
          <cell r="H176">
            <v>100</v>
          </cell>
          <cell r="I176">
            <v>5.3</v>
          </cell>
        </row>
        <row r="177">
          <cell r="D177" t="str">
            <v>3M 5907</v>
          </cell>
          <cell r="E177" t="str">
            <v>诚田城</v>
          </cell>
        </row>
        <row r="177">
          <cell r="G177">
            <v>600</v>
          </cell>
          <cell r="H177">
            <v>66</v>
          </cell>
          <cell r="I177">
            <v>186</v>
          </cell>
        </row>
        <row r="178">
          <cell r="D178" t="str">
            <v>UBE-025S</v>
          </cell>
          <cell r="E178" t="str">
            <v>日本宇部</v>
          </cell>
          <cell r="F178">
            <v>0.025</v>
          </cell>
          <cell r="G178">
            <v>515</v>
          </cell>
          <cell r="H178">
            <v>100</v>
          </cell>
        </row>
        <row r="179">
          <cell r="D179" t="str">
            <v>D3451</v>
          </cell>
          <cell r="E179" t="str">
            <v>索尼</v>
          </cell>
          <cell r="F179">
            <v>0.025</v>
          </cell>
          <cell r="G179">
            <v>250</v>
          </cell>
          <cell r="H179">
            <v>100</v>
          </cell>
          <cell r="I179">
            <v>78</v>
          </cell>
        </row>
        <row r="180">
          <cell r="D180" t="str">
            <v>HKD-DD-TP03D-N-Y（进口胶水）</v>
          </cell>
          <cell r="E180" t="str">
            <v>亚龙兴</v>
          </cell>
          <cell r="F180">
            <v>0.03</v>
          </cell>
          <cell r="G180">
            <v>380</v>
          </cell>
          <cell r="H180">
            <v>100</v>
          </cell>
          <cell r="I180">
            <v>68</v>
          </cell>
        </row>
        <row r="181">
          <cell r="D181" t="str">
            <v>CHY6508-F</v>
          </cell>
          <cell r="E181" t="str">
            <v>创鸿业</v>
          </cell>
          <cell r="F181">
            <v>0.06</v>
          </cell>
          <cell r="G181">
            <v>1080</v>
          </cell>
          <cell r="H181">
            <v>400</v>
          </cell>
          <cell r="I181">
            <v>8.9</v>
          </cell>
        </row>
        <row r="182">
          <cell r="D182" t="str">
            <v>3M4658F</v>
          </cell>
          <cell r="E182" t="str">
            <v>硕源</v>
          </cell>
          <cell r="F182">
            <v>0.8</v>
          </cell>
          <cell r="G182">
            <v>600</v>
          </cell>
          <cell r="H182">
            <v>25</v>
          </cell>
          <cell r="I182">
            <v>486.666666666667</v>
          </cell>
        </row>
        <row r="183">
          <cell r="D183" t="str">
            <v>HC-Q05</v>
          </cell>
          <cell r="E183" t="str">
            <v>华诚胶粘</v>
          </cell>
          <cell r="F183">
            <v>0.5</v>
          </cell>
          <cell r="G183">
            <v>1050</v>
          </cell>
          <cell r="H183">
            <v>30</v>
          </cell>
          <cell r="I183">
            <v>65</v>
          </cell>
        </row>
        <row r="184">
          <cell r="D184" t="str">
            <v>HC-Q08</v>
          </cell>
          <cell r="E184" t="str">
            <v>华诚胶粘</v>
          </cell>
          <cell r="F184">
            <v>0.8</v>
          </cell>
          <cell r="G184">
            <v>1050</v>
          </cell>
          <cell r="H184">
            <v>30</v>
          </cell>
          <cell r="I184">
            <v>73</v>
          </cell>
        </row>
        <row r="185">
          <cell r="D185" t="str">
            <v>HC-Q10</v>
          </cell>
          <cell r="E185" t="str">
            <v>华诚胶粘</v>
          </cell>
          <cell r="F185">
            <v>1</v>
          </cell>
          <cell r="G185">
            <v>1050</v>
          </cell>
          <cell r="H185">
            <v>30</v>
          </cell>
          <cell r="I185">
            <v>78</v>
          </cell>
        </row>
        <row r="186">
          <cell r="D186" t="str">
            <v>0.03mm双导铜箔</v>
          </cell>
          <cell r="E186" t="str">
            <v>志恒鑫</v>
          </cell>
          <cell r="F186">
            <v>0.03</v>
          </cell>
          <cell r="G186">
            <v>520</v>
          </cell>
          <cell r="H186">
            <v>100</v>
          </cell>
          <cell r="I186">
            <v>25</v>
          </cell>
        </row>
        <row r="187">
          <cell r="D187" t="str">
            <v>0.43阻燃PC</v>
          </cell>
          <cell r="E187" t="str">
            <v>灵美</v>
          </cell>
          <cell r="F187">
            <v>0.43</v>
          </cell>
          <cell r="G187">
            <v>930</v>
          </cell>
          <cell r="H187">
            <v>186</v>
          </cell>
          <cell r="I187">
            <v>23</v>
          </cell>
        </row>
        <row r="188">
          <cell r="D188" t="str">
            <v>FR730</v>
          </cell>
          <cell r="E188" t="str">
            <v>天常</v>
          </cell>
          <cell r="F188">
            <v>0.43</v>
          </cell>
          <cell r="G188">
            <v>930</v>
          </cell>
          <cell r="H188">
            <v>186</v>
          </cell>
          <cell r="I188">
            <v>23</v>
          </cell>
        </row>
        <row r="189">
          <cell r="D189" t="str">
            <v>TESA 75630</v>
          </cell>
          <cell r="E189" t="str">
            <v>弘运（TESA代理）</v>
          </cell>
          <cell r="F189">
            <v>0.3</v>
          </cell>
          <cell r="G189">
            <v>1240</v>
          </cell>
          <cell r="H189">
            <v>50</v>
          </cell>
          <cell r="I189">
            <v>170.967741935484</v>
          </cell>
        </row>
        <row r="190">
          <cell r="D190" t="str">
            <v>SDK DST -10</v>
          </cell>
          <cell r="E190" t="str">
            <v>新汇明</v>
          </cell>
          <cell r="F190">
            <v>0.1</v>
          </cell>
          <cell r="G190">
            <v>1250</v>
          </cell>
          <cell r="H190">
            <v>100</v>
          </cell>
          <cell r="I190">
            <v>13</v>
          </cell>
        </row>
        <row r="191">
          <cell r="D191" t="str">
            <v>38°EVA 15.5mm</v>
          </cell>
          <cell r="E191" t="str">
            <v>繁中宝</v>
          </cell>
          <cell r="F191">
            <v>15.5</v>
          </cell>
          <cell r="G191">
            <v>1000</v>
          </cell>
          <cell r="H191">
            <v>100</v>
          </cell>
          <cell r="I191">
            <v>20.15</v>
          </cell>
        </row>
        <row r="192">
          <cell r="D192" t="str">
            <v>38°EVA 3.1mm</v>
          </cell>
          <cell r="E192" t="str">
            <v>繁中宝</v>
          </cell>
          <cell r="F192">
            <v>3.1</v>
          </cell>
          <cell r="G192">
            <v>1000</v>
          </cell>
          <cell r="H192">
            <v>100</v>
          </cell>
          <cell r="I192">
            <v>4.03</v>
          </cell>
        </row>
        <row r="193">
          <cell r="D193" t="str">
            <v>38°EVA 5.5mm</v>
          </cell>
          <cell r="E193" t="str">
            <v>繁中宝</v>
          </cell>
          <cell r="F193">
            <v>5.5</v>
          </cell>
          <cell r="G193">
            <v>1000</v>
          </cell>
          <cell r="H193">
            <v>100</v>
          </cell>
          <cell r="I193">
            <v>7.15</v>
          </cell>
        </row>
        <row r="194">
          <cell r="D194" t="str">
            <v>3M4914-20</v>
          </cell>
          <cell r="E194" t="str">
            <v>诚田城</v>
          </cell>
          <cell r="F194">
            <v>0.2</v>
          </cell>
          <cell r="G194">
            <v>600</v>
          </cell>
          <cell r="H194">
            <v>33</v>
          </cell>
          <cell r="I194">
            <v>256.565656565657</v>
          </cell>
        </row>
        <row r="195">
          <cell r="D195" t="str">
            <v>HKD-DJ-TPO3D-N-HJ</v>
          </cell>
          <cell r="E195" t="str">
            <v>亚龙兴</v>
          </cell>
        </row>
        <row r="195">
          <cell r="G195">
            <v>630</v>
          </cell>
          <cell r="H195">
            <v>50</v>
          </cell>
          <cell r="I195">
            <v>68</v>
          </cell>
        </row>
        <row r="196">
          <cell r="D196" t="str">
            <v>MWE 300LSE</v>
          </cell>
        </row>
        <row r="196">
          <cell r="F196">
            <v>0.1</v>
          </cell>
          <cell r="G196">
            <v>1020</v>
          </cell>
          <cell r="H196">
            <v>100</v>
          </cell>
          <cell r="I196">
            <v>6.5</v>
          </cell>
        </row>
        <row r="197">
          <cell r="D197" t="str">
            <v>W3-V910TB</v>
          </cell>
          <cell r="E197" t="str">
            <v>光大同创</v>
          </cell>
        </row>
        <row r="197">
          <cell r="G197">
            <v>980</v>
          </cell>
          <cell r="H197">
            <v>100</v>
          </cell>
          <cell r="I197">
            <v>24.15</v>
          </cell>
        </row>
        <row r="198">
          <cell r="D198" t="str">
            <v>ZC-V36008</v>
          </cell>
          <cell r="E198" t="str">
            <v>光大同创</v>
          </cell>
        </row>
        <row r="198">
          <cell r="G198">
            <v>520</v>
          </cell>
          <cell r="H198">
            <v>100</v>
          </cell>
          <cell r="I198">
            <v>90.3</v>
          </cell>
        </row>
        <row r="199">
          <cell r="D199" t="str">
            <v>W3-V915T</v>
          </cell>
          <cell r="E199" t="str">
            <v>光大同创</v>
          </cell>
        </row>
        <row r="199">
          <cell r="G199">
            <v>1050</v>
          </cell>
          <cell r="H199">
            <v>100</v>
          </cell>
          <cell r="I199">
            <v>29.4</v>
          </cell>
        </row>
        <row r="200">
          <cell r="D200" t="str">
            <v>ZC-V36020 </v>
          </cell>
          <cell r="E200" t="str">
            <v>光大同创</v>
          </cell>
        </row>
        <row r="200">
          <cell r="G200">
            <v>1040</v>
          </cell>
          <cell r="H200">
            <v>100</v>
          </cell>
          <cell r="I200">
            <v>73.5</v>
          </cell>
        </row>
        <row r="201">
          <cell r="D201" t="str">
            <v>ZC-V37016 </v>
          </cell>
          <cell r="E201" t="str">
            <v>光大同创</v>
          </cell>
        </row>
        <row r="201">
          <cell r="G201">
            <v>520</v>
          </cell>
          <cell r="H201">
            <v>100</v>
          </cell>
          <cell r="I201">
            <v>57.75</v>
          </cell>
        </row>
        <row r="202">
          <cell r="D202" t="str">
            <v>ZC-V2705</v>
          </cell>
          <cell r="E202" t="str">
            <v>光大同创</v>
          </cell>
        </row>
        <row r="202">
          <cell r="G202">
            <v>1020</v>
          </cell>
          <cell r="H202">
            <v>100</v>
          </cell>
          <cell r="I202">
            <v>16.8</v>
          </cell>
        </row>
        <row r="203">
          <cell r="D203" t="str">
            <v>ZC-V37015</v>
          </cell>
          <cell r="E203" t="str">
            <v>光大同创</v>
          </cell>
        </row>
        <row r="203">
          <cell r="G203">
            <v>520</v>
          </cell>
          <cell r="H203">
            <v>100</v>
          </cell>
          <cell r="I203">
            <v>37.8</v>
          </cell>
        </row>
        <row r="204">
          <cell r="D204" t="str">
            <v>ZC-V37018 </v>
          </cell>
          <cell r="E204" t="str">
            <v>光大同创</v>
          </cell>
        </row>
        <row r="204">
          <cell r="G204">
            <v>520</v>
          </cell>
          <cell r="H204">
            <v>100</v>
          </cell>
          <cell r="I204">
            <v>68.25</v>
          </cell>
        </row>
        <row r="205">
          <cell r="D205" t="str">
            <v>ZC-V2710</v>
          </cell>
          <cell r="E205" t="str">
            <v>光大同创</v>
          </cell>
        </row>
        <row r="205">
          <cell r="G205">
            <v>1020</v>
          </cell>
          <cell r="H205">
            <v>100</v>
          </cell>
          <cell r="I205">
            <v>21</v>
          </cell>
        </row>
        <row r="206">
          <cell r="D206" t="str">
            <v>W3-V910TB</v>
          </cell>
          <cell r="E206" t="str">
            <v>光大同创</v>
          </cell>
        </row>
        <row r="206">
          <cell r="G206">
            <v>980</v>
          </cell>
          <cell r="H206">
            <v>100</v>
          </cell>
          <cell r="I206">
            <v>24.15</v>
          </cell>
        </row>
        <row r="207">
          <cell r="D207" t="str">
            <v>0.3mm硅胶</v>
          </cell>
          <cell r="E207" t="str">
            <v>光大同创</v>
          </cell>
        </row>
        <row r="207">
          <cell r="G207">
            <v>280</v>
          </cell>
          <cell r="H207">
            <v>50</v>
          </cell>
          <cell r="I207">
            <v>71.3</v>
          </cell>
        </row>
        <row r="208">
          <cell r="D208" t="str">
            <v>NT-3003B</v>
          </cell>
          <cell r="E208" t="str">
            <v>光大同创</v>
          </cell>
        </row>
        <row r="208">
          <cell r="G208">
            <v>1240</v>
          </cell>
          <cell r="H208">
            <v>100</v>
          </cell>
          <cell r="I208">
            <v>21</v>
          </cell>
        </row>
        <row r="209">
          <cell r="D209" t="str">
            <v>DICWHD720BKE</v>
          </cell>
          <cell r="E209" t="str">
            <v>光大同创</v>
          </cell>
        </row>
        <row r="209">
          <cell r="G209">
            <v>1030</v>
          </cell>
          <cell r="H209">
            <v>50</v>
          </cell>
          <cell r="I209">
            <v>147</v>
          </cell>
        </row>
        <row r="210">
          <cell r="D210" t="str">
            <v>SATI B080CHY</v>
          </cell>
          <cell r="E210" t="str">
            <v>光大同创</v>
          </cell>
        </row>
        <row r="210">
          <cell r="G210">
            <v>1030</v>
          </cell>
          <cell r="H210">
            <v>100</v>
          </cell>
          <cell r="I210">
            <v>594.26</v>
          </cell>
        </row>
        <row r="211">
          <cell r="D211" t="str">
            <v>MXCF-0012KK</v>
          </cell>
          <cell r="E211" t="str">
            <v>光大同创</v>
          </cell>
        </row>
        <row r="211">
          <cell r="G211">
            <v>1050</v>
          </cell>
          <cell r="H211">
            <v>50</v>
          </cell>
          <cell r="I211">
            <v>197.4</v>
          </cell>
        </row>
        <row r="212">
          <cell r="D212" t="str">
            <v>MXCF-2003C</v>
          </cell>
          <cell r="E212" t="str">
            <v>光大同创</v>
          </cell>
        </row>
        <row r="212">
          <cell r="G212">
            <v>1050</v>
          </cell>
          <cell r="H212">
            <v>50</v>
          </cell>
          <cell r="I212">
            <v>152.12</v>
          </cell>
        </row>
        <row r="213">
          <cell r="D213" t="str">
            <v>MXCP-0010KK</v>
          </cell>
          <cell r="E213" t="str">
            <v>光大同创</v>
          </cell>
        </row>
        <row r="213">
          <cell r="G213">
            <v>980</v>
          </cell>
          <cell r="H213">
            <v>20</v>
          </cell>
          <cell r="I213">
            <v>567.9</v>
          </cell>
        </row>
        <row r="214">
          <cell r="D214" t="str">
            <v>Sekisui 5240SXB</v>
          </cell>
          <cell r="E214" t="str">
            <v>光大同创</v>
          </cell>
        </row>
        <row r="214">
          <cell r="G214">
            <v>980</v>
          </cell>
          <cell r="H214">
            <v>50</v>
          </cell>
          <cell r="I214">
            <v>157.5</v>
          </cell>
        </row>
        <row r="215">
          <cell r="D215" t="str">
            <v>79SE-20008</v>
          </cell>
          <cell r="E215" t="str">
            <v>光大同创</v>
          </cell>
        </row>
        <row r="215">
          <cell r="G215">
            <v>980</v>
          </cell>
          <cell r="H215">
            <v>106.68</v>
          </cell>
          <cell r="I215">
            <v>117.11</v>
          </cell>
        </row>
        <row r="216">
          <cell r="D216" t="str">
            <v>4790-92-12030-04PBLK </v>
          </cell>
          <cell r="E216" t="str">
            <v>光大同创</v>
          </cell>
        </row>
        <row r="216">
          <cell r="G216">
            <v>1140</v>
          </cell>
          <cell r="H216">
            <v>121.92</v>
          </cell>
          <cell r="I216">
            <v>142.8</v>
          </cell>
        </row>
        <row r="217">
          <cell r="D217" t="str">
            <v>FKAP-50</v>
          </cell>
          <cell r="E217" t="str">
            <v>光大同创</v>
          </cell>
        </row>
        <row r="217">
          <cell r="G217">
            <v>500</v>
          </cell>
          <cell r="H217">
            <v>200</v>
          </cell>
          <cell r="I217">
            <v>20.16</v>
          </cell>
        </row>
        <row r="218">
          <cell r="D218" t="str">
            <v>TESA 68547</v>
          </cell>
          <cell r="E218" t="str">
            <v>光大同创</v>
          </cell>
        </row>
        <row r="218">
          <cell r="G218">
            <v>1250</v>
          </cell>
          <cell r="H218">
            <v>100</v>
          </cell>
          <cell r="I218">
            <v>33.3</v>
          </cell>
        </row>
        <row r="219">
          <cell r="D219" t="str">
            <v>TESA 68542 </v>
          </cell>
          <cell r="E219" t="str">
            <v>光大同创</v>
          </cell>
        </row>
        <row r="219">
          <cell r="G219">
            <v>1250</v>
          </cell>
          <cell r="H219">
            <v>100</v>
          </cell>
          <cell r="I219">
            <v>16.84</v>
          </cell>
        </row>
        <row r="220">
          <cell r="D220" t="str">
            <v>LS POM200</v>
          </cell>
        </row>
        <row r="220">
          <cell r="F220">
            <v>0.2</v>
          </cell>
          <cell r="G220">
            <v>1010</v>
          </cell>
          <cell r="H220">
            <v>200</v>
          </cell>
          <cell r="I220">
            <v>75</v>
          </cell>
        </row>
        <row r="221">
          <cell r="D221" t="str">
            <v>Kimoto 100MXE</v>
          </cell>
        </row>
        <row r="221">
          <cell r="F221">
            <v>0.115</v>
          </cell>
          <cell r="G221">
            <v>1000</v>
          </cell>
          <cell r="H221">
            <v>200</v>
          </cell>
          <cell r="I221">
            <v>75</v>
          </cell>
        </row>
        <row r="222">
          <cell r="D222" t="str">
            <v>镀铜导电布 单面导电背胶 0.2mm</v>
          </cell>
          <cell r="E222" t="str">
            <v>志恒鑫</v>
          </cell>
          <cell r="F222">
            <v>0.2</v>
          </cell>
        </row>
        <row r="222">
          <cell r="I222">
            <v>38</v>
          </cell>
        </row>
        <row r="223">
          <cell r="D223" t="str">
            <v>镀铜导电海绵 单面导电背胶 1mm</v>
          </cell>
          <cell r="E223" t="str">
            <v>志恒鑫</v>
          </cell>
          <cell r="F223">
            <v>1</v>
          </cell>
        </row>
        <row r="223">
          <cell r="I223">
            <v>55</v>
          </cell>
        </row>
        <row r="224">
          <cell r="D224" t="str">
            <v>镀铜导电海绵 单面导电背胶 1.5mm</v>
          </cell>
          <cell r="E224" t="str">
            <v>志恒鑫</v>
          </cell>
          <cell r="F224">
            <v>1.5</v>
          </cell>
        </row>
        <row r="224">
          <cell r="I224">
            <v>70</v>
          </cell>
        </row>
        <row r="225">
          <cell r="D225" t="str">
            <v>镀铜导电海绵 单面导电背胶 2mm</v>
          </cell>
          <cell r="E225" t="str">
            <v>志恒鑫</v>
          </cell>
          <cell r="F225">
            <v>2</v>
          </cell>
        </row>
        <row r="225">
          <cell r="I225">
            <v>80</v>
          </cell>
        </row>
        <row r="226">
          <cell r="D226" t="str">
            <v>镀铜导电海绵 单面导电背胶 3mm</v>
          </cell>
          <cell r="E226" t="str">
            <v>志恒鑫</v>
          </cell>
          <cell r="F226">
            <v>3</v>
          </cell>
        </row>
        <row r="226">
          <cell r="I226">
            <v>95</v>
          </cell>
        </row>
        <row r="227">
          <cell r="D227" t="str">
            <v>0.03白色PE离型膜</v>
          </cell>
        </row>
        <row r="227">
          <cell r="F227">
            <v>0.03</v>
          </cell>
          <cell r="G227">
            <v>1030</v>
          </cell>
          <cell r="H227">
            <v>500</v>
          </cell>
          <cell r="I227">
            <v>1.4</v>
          </cell>
        </row>
        <row r="228">
          <cell r="D228" t="str">
            <v>0.054网格硅胶保护膜 </v>
          </cell>
          <cell r="E228" t="str">
            <v>深源</v>
          </cell>
          <cell r="F228">
            <v>0.054</v>
          </cell>
          <cell r="G228">
            <v>1050</v>
          </cell>
          <cell r="H228">
            <v>200</v>
          </cell>
          <cell r="I228">
            <v>1.6</v>
          </cell>
        </row>
        <row r="229">
          <cell r="D229" t="str">
            <v>非硅白色离型纸</v>
          </cell>
          <cell r="E229" t="str">
            <v>深源</v>
          </cell>
          <cell r="F229">
            <v>0.15</v>
          </cell>
          <cell r="G229">
            <v>1090</v>
          </cell>
          <cell r="H229">
            <v>200</v>
          </cell>
          <cell r="I229">
            <v>1.5</v>
          </cell>
        </row>
        <row r="230">
          <cell r="D230">
            <v>75630</v>
          </cell>
        </row>
        <row r="230">
          <cell r="F230">
            <v>0.3</v>
          </cell>
          <cell r="G230">
            <v>1240</v>
          </cell>
          <cell r="H230">
            <v>50</v>
          </cell>
          <cell r="I230">
            <v>170.967741935484</v>
          </cell>
        </row>
        <row r="231">
          <cell r="D231" t="str">
            <v>赛发75-19BHY</v>
          </cell>
        </row>
        <row r="231">
          <cell r="I231">
            <v>585</v>
          </cell>
        </row>
        <row r="232">
          <cell r="D232" t="str">
            <v>繁中宝皇冠512</v>
          </cell>
        </row>
        <row r="232">
          <cell r="I232">
            <v>7.5</v>
          </cell>
        </row>
        <row r="233">
          <cell r="D233" t="str">
            <v>皇冠A3050CT</v>
          </cell>
        </row>
        <row r="233">
          <cell r="G233">
            <v>900</v>
          </cell>
          <cell r="H233">
            <v>33</v>
          </cell>
          <cell r="I233">
            <v>8</v>
          </cell>
        </row>
        <row r="236">
          <cell r="I236">
            <v>7.5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id="1" name="表1_3" displayName="表1_3" ref="B1:U120" totalsRowShown="0">
  <autoFilter xmlns:etc="http://www.wps.cn/officeDocument/2017/etCustomData" ref="B1:U120" etc:filterBottomFollowUsedRange="0"/>
  <tableColumns count="20">
    <tableColumn id="1" name="日期"/>
    <tableColumn id="2" name="客户"/>
    <tableColumn id="3" name="料号"/>
    <tableColumn id="4" name="产品规格"/>
    <tableColumn id="5" name="使用材料"/>
    <tableColumn id="6" name="原材料规格">
      <calculatedColumnFormula>IFERROR(VLOOKUP(表1_3[[#This Row],[使用材料]],[1]材料清单!$D$2:$N$996,4,0),"")</calculatedColumnFormula>
    </tableColumn>
    <tableColumn id="7" name="长度">
      <calculatedColumnFormula>IFERROR(VLOOKUP(表1_3[[#This Row],[使用材料]],[1]材料清单!$D$2:$N$996,5,0),"")</calculatedColumnFormula>
    </tableColumn>
    <tableColumn id="8" name="分切宽度"/>
    <tableColumn id="9" name="小卷"/>
    <tableColumn id="10" name="整支"/>
    <tableColumn id="11" name="料头宽"/>
    <tableColumn id="12" name="卷/支">
      <calculatedColumnFormula>IFERROR(G2/I2,"")</calculatedColumnFormula>
    </tableColumn>
    <tableColumn id="13" name="跳距"/>
    <tableColumn id="14" name="穴数"/>
    <tableColumn id="15" name="工单数"/>
    <tableColumn id="16" name="购买材料数量&#10;（米）"/>
    <tableColumn id="17" name="购买材料数量&#10;（平方）(5%)">
      <calculatedColumnFormula>IFERROR(Q2*I2/1000*1.05,"")</calculatedColumnFormula>
    </tableColumn>
    <tableColumn id="18" name="模具编号"/>
    <tableColumn id="19" name="单价"/>
    <tableColumn id="20" name="原材料单价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U120"/>
  <sheetViews>
    <sheetView showGridLines="0" tabSelected="1" zoomScale="85" zoomScaleNormal="85" topLeftCell="C1" workbookViewId="0">
      <pane ySplit="1" topLeftCell="A2" activePane="bottomLeft" state="frozen"/>
      <selection/>
      <selection pane="bottomLeft" activeCell="G11" sqref="G11"/>
    </sheetView>
  </sheetViews>
  <sheetFormatPr defaultColWidth="9" defaultRowHeight="27" customHeight="1"/>
  <cols>
    <col min="1" max="1" width="4.44247787610619" style="2" customWidth="1"/>
    <col min="2" max="2" width="8.44247787610619" style="3" customWidth="1"/>
    <col min="3" max="3" width="8.10619469026549" style="4" customWidth="1"/>
    <col min="4" max="4" width="18" style="5" customWidth="1"/>
    <col min="5" max="5" width="19.5575221238938" style="5" customWidth="1"/>
    <col min="6" max="6" width="26.1061946902655" style="4" customWidth="1"/>
    <col min="7" max="7" width="8.66371681415929" style="6" customWidth="1"/>
    <col min="8" max="8" width="7.88495575221239" style="6" customWidth="1"/>
    <col min="9" max="9" width="7.88495575221239" style="7" customWidth="1"/>
    <col min="10" max="10" width="8" style="2" customWidth="1"/>
    <col min="11" max="11" width="10.5575221238938" style="2" customWidth="1"/>
    <col min="12" max="12" width="8.33628318584071" style="8" customWidth="1"/>
    <col min="13" max="13" width="8.33628318584071" style="6" customWidth="1"/>
    <col min="14" max="14" width="8" style="9" customWidth="1"/>
    <col min="15" max="15" width="7" style="6" customWidth="1"/>
    <col min="16" max="16" width="11.5575221238938" style="10" customWidth="1"/>
    <col min="17" max="17" width="15" style="11" customWidth="1"/>
    <col min="18" max="18" width="17.2212389380531" style="11" customWidth="1"/>
    <col min="19" max="19" width="29" style="12" customWidth="1"/>
    <col min="20" max="20" width="7.88495575221239" style="13" customWidth="1"/>
    <col min="21" max="21" width="14.3362831858407" style="4" customWidth="1"/>
    <col min="22" max="16384" width="9" style="2"/>
  </cols>
  <sheetData>
    <row r="1" s="1" customFormat="1" ht="39.45" customHeight="1" spans="2:21">
      <c r="B1" s="14" t="s">
        <v>0</v>
      </c>
      <c r="C1" s="15" t="s">
        <v>1</v>
      </c>
      <c r="D1" s="5" t="s">
        <v>2</v>
      </c>
      <c r="E1" s="16" t="s">
        <v>3</v>
      </c>
      <c r="F1" s="17" t="s">
        <v>4</v>
      </c>
      <c r="G1" s="17" t="s">
        <v>5</v>
      </c>
      <c r="H1" s="17" t="s">
        <v>6</v>
      </c>
      <c r="I1" s="18" t="s">
        <v>7</v>
      </c>
      <c r="J1" s="1" t="s">
        <v>8</v>
      </c>
      <c r="K1" s="1" t="s">
        <v>9</v>
      </c>
      <c r="L1" s="19" t="s">
        <v>10</v>
      </c>
      <c r="M1" s="15" t="s">
        <v>11</v>
      </c>
      <c r="N1" s="20" t="s">
        <v>12</v>
      </c>
      <c r="O1" s="17" t="s">
        <v>13</v>
      </c>
      <c r="P1" s="21" t="s">
        <v>14</v>
      </c>
      <c r="Q1" s="22" t="s">
        <v>15</v>
      </c>
      <c r="R1" s="23" t="s">
        <v>16</v>
      </c>
      <c r="S1" s="24" t="s">
        <v>17</v>
      </c>
      <c r="T1" s="23" t="s">
        <v>18</v>
      </c>
      <c r="U1" s="17" t="s">
        <v>19</v>
      </c>
    </row>
    <row r="2" customHeight="1" spans="2:21">
      <c r="B2" s="25">
        <v>44788</v>
      </c>
      <c r="C2" s="26" t="s">
        <v>20</v>
      </c>
      <c r="D2" s="27" t="s">
        <v>21</v>
      </c>
      <c r="E2" s="27" t="s">
        <v>22</v>
      </c>
      <c r="F2" s="28" t="s">
        <v>23</v>
      </c>
      <c r="G2" s="29">
        <f>IFERROR(VLOOKUP(表1_3[[#This Row],[使用材料]],[1]材料清单!$D$2:$N$996,4,0),"")</f>
        <v>1070</v>
      </c>
      <c r="H2" s="29">
        <f>IFERROR(VLOOKUP(表1_3[[#This Row],[使用材料]],[1]材料清单!$D$2:$N$996,5,0),"")</f>
        <v>200</v>
      </c>
      <c r="I2" s="30">
        <v>45</v>
      </c>
      <c r="J2" s="31">
        <f>IFERROR(Q2/H2,"")</f>
        <v>2.2</v>
      </c>
      <c r="K2" s="32">
        <f>IFERROR(J2/M2,"")</f>
        <v>0.0925233644859813</v>
      </c>
      <c r="L2" s="33">
        <f>(M2-INT(M2))*I2</f>
        <v>35</v>
      </c>
      <c r="M2" s="34">
        <f>G2/I2</f>
        <v>23.7777777777778</v>
      </c>
      <c r="N2" s="35">
        <v>44</v>
      </c>
      <c r="O2" s="36">
        <v>2</v>
      </c>
      <c r="P2" s="37">
        <v>20000</v>
      </c>
      <c r="Q2" s="38">
        <f>P2*(N2/1000)/O2</f>
        <v>440</v>
      </c>
      <c r="R2" s="38">
        <f>Q2*I2/1000*1.05</f>
        <v>20.79</v>
      </c>
      <c r="S2" s="39" t="s">
        <v>24</v>
      </c>
      <c r="T2" s="40"/>
      <c r="U2" s="28">
        <f>IFERROR((VLOOKUP(F2,[1]材料清单!D2:K1996,6,0)),"")</f>
        <v>4.5</v>
      </c>
    </row>
    <row r="3" ht="25.95" customHeight="1" spans="2:21">
      <c r="B3" s="41"/>
      <c r="C3" s="42"/>
      <c r="D3" s="43"/>
      <c r="E3" s="43"/>
      <c r="F3" s="44" t="s">
        <v>25</v>
      </c>
      <c r="G3" s="29">
        <f>IFERROR(VLOOKUP(表1_3[[#This Row],[使用材料]],[1]材料清单!$D$2:$N$996,4,0),"")</f>
        <v>1090</v>
      </c>
      <c r="H3" s="29">
        <f>IFERROR(VLOOKUP(表1_3[[#This Row],[使用材料]],[1]材料清单!$D$2:$N$996,5,0),"")</f>
        <v>300</v>
      </c>
      <c r="I3" s="30">
        <v>50</v>
      </c>
      <c r="J3" s="31">
        <f>IFERROR(Q3/H3,"")</f>
        <v>1.46666666666667</v>
      </c>
      <c r="K3" s="32">
        <f>IFERROR(J3/M3,"")</f>
        <v>0.0672782874617737</v>
      </c>
      <c r="L3" s="33">
        <f>(M3-INT(M3))*I3</f>
        <v>40</v>
      </c>
      <c r="M3" s="34">
        <f>G3/I3</f>
        <v>21.8</v>
      </c>
      <c r="N3" s="35">
        <v>44</v>
      </c>
      <c r="O3" s="36">
        <v>2</v>
      </c>
      <c r="P3" s="37">
        <f>P2</f>
        <v>20000</v>
      </c>
      <c r="Q3" s="38">
        <f>P3*(N3/1000)/O3</f>
        <v>440</v>
      </c>
      <c r="R3" s="38">
        <f>Q3*I3/1000*1.05</f>
        <v>23.1</v>
      </c>
      <c r="S3" s="45"/>
      <c r="T3" s="46"/>
      <c r="U3" s="28">
        <f>IFERROR((VLOOKUP(F3,[1]材料清单!D3:K1997,6,0)),"")</f>
        <v>1.2</v>
      </c>
    </row>
    <row r="4" customHeight="1" spans="2:21">
      <c r="B4" s="41"/>
      <c r="C4" s="42" t="s">
        <v>26</v>
      </c>
      <c r="D4" s="47" t="s">
        <v>27</v>
      </c>
      <c r="E4" s="47" t="s">
        <v>28</v>
      </c>
      <c r="F4" s="48" t="s">
        <v>29</v>
      </c>
      <c r="G4" s="29">
        <f>IFERROR(VLOOKUP(表1_3[[#This Row],[使用材料]],[1]材料清单!$D$2:$N$996,4,0),"")</f>
        <v>1200</v>
      </c>
      <c r="H4" s="29">
        <f>IFERROR(VLOOKUP(表1_3[[#This Row],[使用材料]],[1]材料清单!$D$2:$N$996,5,0),"")</f>
        <v>200</v>
      </c>
      <c r="I4" s="49">
        <v>171</v>
      </c>
      <c r="J4" s="50">
        <f>IFERROR(Q4/H4,"")</f>
        <v>2.85525</v>
      </c>
      <c r="K4" s="51">
        <f>IFERROR(J4/M4,"")</f>
        <v>0.406873125</v>
      </c>
      <c r="L4" s="52">
        <f>(M4-INT(M4))*I4</f>
        <v>2.99999999999993</v>
      </c>
      <c r="M4" s="53">
        <f>G4/I4</f>
        <v>7.01754385964912</v>
      </c>
      <c r="N4" s="54">
        <v>405</v>
      </c>
      <c r="O4" s="55">
        <v>1</v>
      </c>
      <c r="P4" s="37">
        <v>1410</v>
      </c>
      <c r="Q4" s="56">
        <f>P4*(N4/1000)/O4</f>
        <v>571.05</v>
      </c>
      <c r="R4" s="56">
        <f>Q4*I4/1000*1.05</f>
        <v>102.5320275</v>
      </c>
      <c r="S4" s="57" t="s">
        <v>30</v>
      </c>
      <c r="T4" s="58"/>
      <c r="U4" s="59">
        <f>IFERROR((VLOOKUP(F4,[1]材料清单!D4:K1998,6,0)),"")</f>
        <v>6.8</v>
      </c>
    </row>
    <row r="5" customHeight="1" spans="2:21">
      <c r="B5" s="41"/>
      <c r="C5" s="42"/>
      <c r="D5" s="59" t="s">
        <v>31</v>
      </c>
      <c r="E5" s="47" t="s">
        <v>32</v>
      </c>
      <c r="F5" s="48" t="s">
        <v>29</v>
      </c>
      <c r="G5" s="60">
        <f>IFERROR(VLOOKUP(表1_3[[#This Row],[使用材料]],[1]材料清单!$D$2:$N$996,4,0),"")</f>
        <v>1200</v>
      </c>
      <c r="H5" s="60">
        <f>IFERROR(VLOOKUP(表1_3[[#This Row],[使用材料]],[1]材料清单!$D$2:$N$996,5,0),"")</f>
        <v>200</v>
      </c>
      <c r="I5" s="49">
        <v>147</v>
      </c>
      <c r="J5" s="50">
        <f>IFERROR(Q5/H5,"")</f>
        <v>1.6074</v>
      </c>
      <c r="K5" s="51">
        <f>IFERROR(J5/M5,"")</f>
        <v>0.1969065</v>
      </c>
      <c r="L5" s="52">
        <f>(M5-INT(M5))*I5</f>
        <v>24</v>
      </c>
      <c r="M5" s="53">
        <f>G5/I5</f>
        <v>8.16326530612245</v>
      </c>
      <c r="N5" s="54">
        <v>228</v>
      </c>
      <c r="O5" s="55">
        <v>1</v>
      </c>
      <c r="P5" s="37">
        <v>1410</v>
      </c>
      <c r="Q5" s="56">
        <f>P5*(N5/1000)/O5</f>
        <v>321.48</v>
      </c>
      <c r="R5" s="56">
        <f>Q5*I5/1000*1.05</f>
        <v>49.620438</v>
      </c>
      <c r="S5" s="57" t="s">
        <v>30</v>
      </c>
      <c r="T5" s="58"/>
      <c r="U5" s="59">
        <f>IFERROR((VLOOKUP(F5,[1]材料清单!D5:K1999,6,0)),"")</f>
        <v>6.8</v>
      </c>
    </row>
    <row r="6" customHeight="1" spans="2:21">
      <c r="B6" s="41"/>
      <c r="C6" s="42" t="s">
        <v>26</v>
      </c>
      <c r="D6" s="59" t="s">
        <v>33</v>
      </c>
      <c r="E6" s="47" t="s">
        <v>33</v>
      </c>
      <c r="F6" s="48" t="s">
        <v>34</v>
      </c>
      <c r="G6" s="60">
        <f>IFERROR(VLOOKUP(表1_3[[#This Row],[使用材料]],[1]材料清单!$D$2:$N$996,4,0),"")</f>
        <v>520</v>
      </c>
      <c r="H6" s="60">
        <f>IFERROR(VLOOKUP(表1_3[[#This Row],[使用材料]],[1]材料清单!$D$2:$N$996,5,0),"")</f>
        <v>100</v>
      </c>
      <c r="I6" s="49">
        <v>260</v>
      </c>
      <c r="J6" s="50">
        <f>IFERROR(Q6/H6,"")</f>
        <v>0.6765</v>
      </c>
      <c r="K6" s="51">
        <f>IFERROR(J6/M6,"")</f>
        <v>0.33825</v>
      </c>
      <c r="L6" s="52">
        <f>(M6-INT(M6))*I6</f>
        <v>0</v>
      </c>
      <c r="M6" s="53">
        <f>G6/I6</f>
        <v>2</v>
      </c>
      <c r="N6" s="54">
        <v>8.25</v>
      </c>
      <c r="O6" s="55">
        <v>1</v>
      </c>
      <c r="P6" s="37">
        <v>8200</v>
      </c>
      <c r="Q6" s="56">
        <f>IFERROR(P6*(N6/1000)/O6,"")</f>
        <v>67.65</v>
      </c>
      <c r="R6" s="56">
        <f>IFERROR(Q6*I6/1000*1.05,"")</f>
        <v>18.46845</v>
      </c>
      <c r="S6" s="57" t="s">
        <v>30</v>
      </c>
      <c r="T6" s="61"/>
      <c r="U6" s="59">
        <f>IFERROR((VLOOKUP(F6,[1]材料清单!D6:K2000,6,0)),"")</f>
        <v>70</v>
      </c>
    </row>
    <row r="7" customHeight="1" spans="2:21">
      <c r="B7" s="41"/>
      <c r="C7" s="42"/>
      <c r="D7" s="59"/>
      <c r="E7" s="47"/>
      <c r="F7" s="48" t="s">
        <v>35</v>
      </c>
      <c r="G7" s="60">
        <f>IFERROR(VLOOKUP(表1_3[[#This Row],[使用材料]],[1]材料清单!$D$2:$N$996,4,0),"")</f>
        <v>1240</v>
      </c>
      <c r="H7" s="60">
        <f>IFERROR(VLOOKUP(表1_3[[#This Row],[使用材料]],[1]材料清单!$D$2:$N$996,5,0),"")</f>
        <v>100</v>
      </c>
      <c r="I7" s="49">
        <v>260</v>
      </c>
      <c r="J7" s="50">
        <f>IFERROR(Q7/H7,"")</f>
        <v>0.6396</v>
      </c>
      <c r="K7" s="51">
        <f>IFERROR(J7/M7,"")</f>
        <v>0.134109677419355</v>
      </c>
      <c r="L7" s="52">
        <f>(M7-INT(M7))*I7</f>
        <v>200</v>
      </c>
      <c r="M7" s="53">
        <f>G7/I7</f>
        <v>4.76923076923077</v>
      </c>
      <c r="N7" s="54">
        <v>7.8</v>
      </c>
      <c r="O7" s="55">
        <v>1</v>
      </c>
      <c r="P7" s="37">
        <v>8200</v>
      </c>
      <c r="Q7" s="56">
        <f>IFERROR(P7*(N7/1000)/O7,"")</f>
        <v>63.96</v>
      </c>
      <c r="R7" s="56">
        <f>IFERROR(Q7*I7/1000*1.05,"")</f>
        <v>17.46108</v>
      </c>
      <c r="S7" s="57" t="s">
        <v>30</v>
      </c>
      <c r="T7" s="61"/>
      <c r="U7" s="59">
        <f>IFERROR((VLOOKUP(F7,[1]材料清单!D7:K2001,6,0)),"")</f>
        <v>6.8</v>
      </c>
    </row>
    <row r="8" customHeight="1" spans="2:21">
      <c r="B8" s="41"/>
      <c r="C8" s="42" t="s">
        <v>26</v>
      </c>
      <c r="D8" s="59" t="s">
        <v>36</v>
      </c>
      <c r="E8" s="47" t="s">
        <v>36</v>
      </c>
      <c r="F8" s="48" t="s">
        <v>34</v>
      </c>
      <c r="G8" s="60">
        <f>IFERROR(VLOOKUP(表1_3[[#This Row],[使用材料]],[1]材料清单!$D$2:$N$996,4,0),"")</f>
        <v>520</v>
      </c>
      <c r="H8" s="60">
        <f>IFERROR(VLOOKUP(表1_3[[#This Row],[使用材料]],[1]材料清单!$D$2:$N$996,5,0),"")</f>
        <v>100</v>
      </c>
      <c r="I8" s="49">
        <v>260</v>
      </c>
      <c r="J8" s="50">
        <f>IFERROR(Q8/H8,"")</f>
        <v>0.6396</v>
      </c>
      <c r="K8" s="51">
        <f>IFERROR(J8/M8,"")</f>
        <v>0.3198</v>
      </c>
      <c r="L8" s="52">
        <f>(M8-INT(M8))*I8</f>
        <v>0</v>
      </c>
      <c r="M8" s="53">
        <f>G8/I8</f>
        <v>2</v>
      </c>
      <c r="N8" s="54">
        <v>7.8</v>
      </c>
      <c r="O8" s="55">
        <v>1</v>
      </c>
      <c r="P8" s="37">
        <v>8200</v>
      </c>
      <c r="Q8" s="56">
        <f>IFERROR(P8*(N8/1000)/O8,"")</f>
        <v>63.96</v>
      </c>
      <c r="R8" s="56">
        <f>IFERROR(Q8*I8/1000*1.05,"")</f>
        <v>17.46108</v>
      </c>
      <c r="S8" s="62"/>
      <c r="T8" s="61"/>
      <c r="U8" s="59">
        <f>IFERROR((VLOOKUP(F8,[1]材料清单!D8:K2002,6,0)),"")</f>
        <v>70</v>
      </c>
    </row>
    <row r="9" customHeight="1" spans="2:21">
      <c r="B9" s="41"/>
      <c r="C9" s="42"/>
      <c r="D9" s="47"/>
      <c r="E9" s="47"/>
      <c r="F9" s="48" t="s">
        <v>35</v>
      </c>
      <c r="G9" s="60">
        <f>IFERROR(VLOOKUP(表1_3[[#This Row],[使用材料]],[1]材料清单!$D$2:$N$996,4,0),"")</f>
        <v>1240</v>
      </c>
      <c r="H9" s="60">
        <f>IFERROR(VLOOKUP(表1_3[[#This Row],[使用材料]],[1]材料清单!$D$2:$N$996,5,0),"")</f>
        <v>100</v>
      </c>
      <c r="I9" s="49">
        <v>260</v>
      </c>
      <c r="J9" s="50">
        <f>IFERROR(Q9/H9,"")</f>
        <v>0.6396</v>
      </c>
      <c r="K9" s="51">
        <f>IFERROR(J9/M9,"")</f>
        <v>0.134109677419355</v>
      </c>
      <c r="L9" s="52">
        <f>(M9-INT(M9))*I9</f>
        <v>200</v>
      </c>
      <c r="M9" s="53">
        <f>G9/I9</f>
        <v>4.76923076923077</v>
      </c>
      <c r="N9" s="54">
        <v>7.8</v>
      </c>
      <c r="O9" s="55">
        <v>1</v>
      </c>
      <c r="P9" s="37">
        <v>8200</v>
      </c>
      <c r="Q9" s="56">
        <f>IFERROR(P9*(N9/1000)/O9,"")</f>
        <v>63.96</v>
      </c>
      <c r="R9" s="56">
        <f>IFERROR(Q9*I9/1000*1.05,"")</f>
        <v>17.46108</v>
      </c>
      <c r="S9" s="62"/>
      <c r="T9" s="61"/>
      <c r="U9" s="59">
        <f>IFERROR((VLOOKUP(F9,[1]材料清单!D9:K2003,6,0)),"")</f>
        <v>6.8</v>
      </c>
    </row>
    <row r="10" customHeight="1" spans="2:21">
      <c r="B10" s="41"/>
      <c r="C10" s="42" t="s">
        <v>26</v>
      </c>
      <c r="D10" s="59" t="s">
        <v>37</v>
      </c>
      <c r="E10" s="47" t="s">
        <v>37</v>
      </c>
      <c r="F10" s="47" t="s">
        <v>38</v>
      </c>
      <c r="G10" s="60">
        <f>IFERROR(VLOOKUP(表1_3[[#This Row],[使用材料]],[1]材料清单!$D$2:$N$996,4,0),"")</f>
        <v>1090</v>
      </c>
      <c r="H10" s="60">
        <f>IFERROR(VLOOKUP(表1_3[[#This Row],[使用材料]],[1]材料清单!$D$2:$N$996,5,0),"")</f>
        <v>200</v>
      </c>
      <c r="I10" s="49">
        <v>183</v>
      </c>
      <c r="J10" s="50">
        <f>IFERROR(Q10/H10,"")</f>
        <v>0.6345</v>
      </c>
      <c r="K10" s="51">
        <f>IFERROR(J10/M10,"")</f>
        <v>0.106526146788991</v>
      </c>
      <c r="L10" s="52">
        <f>(M10-INT(M10))*I10</f>
        <v>175</v>
      </c>
      <c r="M10" s="53">
        <f>G10/I10</f>
        <v>5.95628415300546</v>
      </c>
      <c r="N10" s="54">
        <v>90</v>
      </c>
      <c r="O10" s="55">
        <v>1</v>
      </c>
      <c r="P10" s="37">
        <v>1410</v>
      </c>
      <c r="Q10" s="56">
        <f>P10*(N10/1000)/O10</f>
        <v>126.9</v>
      </c>
      <c r="R10" s="56">
        <f>Q10*I10/1000*1.05</f>
        <v>24.383835</v>
      </c>
      <c r="S10" s="62"/>
      <c r="T10" s="61"/>
      <c r="U10" s="59">
        <f>IFERROR((VLOOKUP(F10,[1]材料清单!D10:K2004,6,0)),"")</f>
        <v>4.8</v>
      </c>
    </row>
    <row r="11" customHeight="1" spans="2:21">
      <c r="B11" s="41"/>
      <c r="C11" s="42"/>
      <c r="D11" s="59"/>
      <c r="E11" s="47"/>
      <c r="F11" s="47" t="s">
        <v>39</v>
      </c>
      <c r="G11" s="60">
        <f>IFERROR(VLOOKUP(表1_3[[#This Row],[使用材料]],[1]材料清单!$D$2:$N$996,4,0),"")</f>
        <v>980</v>
      </c>
      <c r="H11" s="60">
        <f>IFERROR(VLOOKUP(表1_3[[#This Row],[使用材料]],[1]材料清单!$D$2:$N$996,5,0),"")</f>
        <v>50</v>
      </c>
      <c r="I11" s="49">
        <v>171</v>
      </c>
      <c r="J11" s="50">
        <f>IFERROR(Q11/H11,"")</f>
        <v>2.538</v>
      </c>
      <c r="K11" s="51">
        <f>IFERROR(J11/M11,"")</f>
        <v>0.442855102040816</v>
      </c>
      <c r="L11" s="52">
        <f>(M11-INT(M11))*I11</f>
        <v>125</v>
      </c>
      <c r="M11" s="53">
        <f>G11/I11</f>
        <v>5.73099415204678</v>
      </c>
      <c r="N11" s="54">
        <v>90</v>
      </c>
      <c r="O11" s="55">
        <v>1</v>
      </c>
      <c r="P11" s="37">
        <v>1410</v>
      </c>
      <c r="Q11" s="56">
        <f>P11*(N11/1000)/O11</f>
        <v>126.9</v>
      </c>
      <c r="R11" s="56">
        <f>Q11*I11/1000*1.05</f>
        <v>22.784895</v>
      </c>
      <c r="S11" s="62"/>
      <c r="T11" s="61"/>
      <c r="U11" s="59">
        <f>IFERROR((VLOOKUP(F11,[1]材料清单!D11:K2005,6,0)),"")</f>
        <v>190</v>
      </c>
    </row>
    <row r="12" customHeight="1" spans="2:21">
      <c r="B12" s="41"/>
      <c r="C12" s="42"/>
      <c r="D12" s="59"/>
      <c r="E12" s="47"/>
      <c r="F12" s="47" t="s">
        <v>40</v>
      </c>
      <c r="G12" s="60">
        <f>IFERROR(VLOOKUP(表1_3[[#This Row],[使用材料]],[1]材料清单!$D$2:$N$996,4,0),"")</f>
        <v>1090</v>
      </c>
      <c r="H12" s="60">
        <f>IFERROR(VLOOKUP(表1_3[[#This Row],[使用材料]],[1]材料清单!$D$2:$N$996,5,0),"")</f>
        <v>200</v>
      </c>
      <c r="I12" s="49">
        <v>183</v>
      </c>
      <c r="J12" s="50">
        <f>IFERROR(Q12/H12,"")</f>
        <v>0.6345</v>
      </c>
      <c r="K12" s="51">
        <f>IFERROR(J12/M12,"")</f>
        <v>0.106526146788991</v>
      </c>
      <c r="L12" s="52">
        <f>(M12-INT(M12))*I12</f>
        <v>175</v>
      </c>
      <c r="M12" s="53">
        <f>G12/I12</f>
        <v>5.95628415300546</v>
      </c>
      <c r="N12" s="54">
        <v>90</v>
      </c>
      <c r="O12" s="55">
        <v>1</v>
      </c>
      <c r="P12" s="37">
        <v>1410</v>
      </c>
      <c r="Q12" s="56">
        <f>P12*(N12/1000)/O12</f>
        <v>126.9</v>
      </c>
      <c r="R12" s="56">
        <f>Q12*I12/1000*1.05</f>
        <v>24.383835</v>
      </c>
      <c r="S12" s="62"/>
      <c r="T12" s="61"/>
      <c r="U12" s="59">
        <f>IFERROR((VLOOKUP(F12,[1]材料清单!D12:K2006,6,0)),"")</f>
        <v>3.5</v>
      </c>
    </row>
    <row r="13" customHeight="1" spans="2:21">
      <c r="B13" s="41"/>
      <c r="C13" s="42" t="s">
        <v>26</v>
      </c>
      <c r="D13" s="59" t="s">
        <v>41</v>
      </c>
      <c r="E13" s="47" t="s">
        <v>41</v>
      </c>
      <c r="F13" s="47" t="s">
        <v>38</v>
      </c>
      <c r="G13" s="60">
        <f>IFERROR(VLOOKUP(表1_3[[#This Row],[使用材料]],[1]材料清单!$D$2:$N$996,4,0),"")</f>
        <v>1090</v>
      </c>
      <c r="H13" s="60">
        <f>IFERROR(VLOOKUP(表1_3[[#This Row],[使用材料]],[1]材料清单!$D$2:$N$996,5,0),"")</f>
        <v>200</v>
      </c>
      <c r="I13" s="49">
        <v>150</v>
      </c>
      <c r="J13" s="50">
        <f>IFERROR(Q13/H13,"")</f>
        <v>0.120290625</v>
      </c>
      <c r="K13" s="51">
        <f>IFERROR(J13/M13,"")</f>
        <v>0.016553755733945</v>
      </c>
      <c r="L13" s="52">
        <f>(M13-INT(M13))*I13</f>
        <v>40</v>
      </c>
      <c r="M13" s="53">
        <f>G13/I13</f>
        <v>7.26666666666667</v>
      </c>
      <c r="N13" s="54">
        <v>273</v>
      </c>
      <c r="O13" s="55">
        <v>16</v>
      </c>
      <c r="P13" s="37">
        <v>1410</v>
      </c>
      <c r="Q13" s="56">
        <f>P13*(N13/1000)/O13</f>
        <v>24.058125</v>
      </c>
      <c r="R13" s="56">
        <f>Q13*I13/1000*1.05</f>
        <v>3.7891546875</v>
      </c>
      <c r="S13" s="62"/>
      <c r="T13" s="61"/>
      <c r="U13" s="59">
        <f>IFERROR((VLOOKUP(F13,[1]材料清单!D13:K2007,6,0)),"")</f>
        <v>4.8</v>
      </c>
    </row>
    <row r="14" customHeight="1" spans="2:21">
      <c r="B14" s="41"/>
      <c r="C14" s="42"/>
      <c r="D14" s="59"/>
      <c r="E14" s="47"/>
      <c r="F14" s="47" t="s">
        <v>39</v>
      </c>
      <c r="G14" s="60">
        <f>IFERROR(VLOOKUP(表1_3[[#This Row],[使用材料]],[1]材料清单!$D$2:$N$996,4,0),"")</f>
        <v>980</v>
      </c>
      <c r="H14" s="60">
        <f>IFERROR(VLOOKUP(表1_3[[#This Row],[使用材料]],[1]材料清单!$D$2:$N$996,5,0),"")</f>
        <v>50</v>
      </c>
      <c r="I14" s="49">
        <v>145</v>
      </c>
      <c r="J14" s="50">
        <f>IFERROR(Q14/H14,"")</f>
        <v>0.4811625</v>
      </c>
      <c r="K14" s="51">
        <f>IFERROR(J14/M14,"")</f>
        <v>0.0711924107142857</v>
      </c>
      <c r="L14" s="52">
        <f>(M14-INT(M14))*I14</f>
        <v>110</v>
      </c>
      <c r="M14" s="53">
        <f>G14/I14</f>
        <v>6.75862068965517</v>
      </c>
      <c r="N14" s="54">
        <v>273</v>
      </c>
      <c r="O14" s="55">
        <v>16</v>
      </c>
      <c r="P14" s="37">
        <v>1410</v>
      </c>
      <c r="Q14" s="56">
        <f>P14*(N14/1000)/O14</f>
        <v>24.058125</v>
      </c>
      <c r="R14" s="56">
        <f>Q14*I14/1000*1.05</f>
        <v>3.66284953125</v>
      </c>
      <c r="S14" s="62"/>
      <c r="T14" s="61"/>
      <c r="U14" s="59">
        <f>IFERROR((VLOOKUP(F14,[1]材料清单!D14:K2008,6,0)),"")</f>
        <v>190</v>
      </c>
    </row>
    <row r="15" customHeight="1" spans="2:21">
      <c r="B15" s="41"/>
      <c r="C15" s="42"/>
      <c r="D15" s="59"/>
      <c r="E15" s="47"/>
      <c r="F15" s="47" t="s">
        <v>40</v>
      </c>
      <c r="G15" s="60">
        <f>IFERROR(VLOOKUP(表1_3[[#This Row],[使用材料]],[1]材料清单!$D$2:$N$996,4,0),"")</f>
        <v>1090</v>
      </c>
      <c r="H15" s="60">
        <f>IFERROR(VLOOKUP(表1_3[[#This Row],[使用材料]],[1]材料清单!$D$2:$N$996,5,0),"")</f>
        <v>200</v>
      </c>
      <c r="I15" s="49">
        <v>150</v>
      </c>
      <c r="J15" s="50">
        <f>IFERROR(Q15/H15,"")</f>
        <v>0.120290625</v>
      </c>
      <c r="K15" s="51">
        <f>IFERROR(J15/M15,"")</f>
        <v>0.016553755733945</v>
      </c>
      <c r="L15" s="52">
        <f>(M15-INT(M15))*I15</f>
        <v>40</v>
      </c>
      <c r="M15" s="53">
        <f>G15/I15</f>
        <v>7.26666666666667</v>
      </c>
      <c r="N15" s="54">
        <v>273</v>
      </c>
      <c r="O15" s="55">
        <v>16</v>
      </c>
      <c r="P15" s="37">
        <v>1410</v>
      </c>
      <c r="Q15" s="56">
        <f>P15*(N15/1000)/O15</f>
        <v>24.058125</v>
      </c>
      <c r="R15" s="56">
        <f>Q15*I15/1000*1.05</f>
        <v>3.7891546875</v>
      </c>
      <c r="S15" s="62"/>
      <c r="T15" s="61"/>
      <c r="U15" s="59">
        <f>IFERROR((VLOOKUP(F15,[1]材料清单!D15:K2009,6,0)),"")</f>
        <v>3.5</v>
      </c>
    </row>
    <row r="16" customHeight="1" spans="2:21">
      <c r="B16" s="41"/>
      <c r="C16" s="42" t="s">
        <v>26</v>
      </c>
      <c r="D16" s="59" t="s">
        <v>42</v>
      </c>
      <c r="E16" s="47" t="s">
        <v>42</v>
      </c>
      <c r="F16" s="47" t="s">
        <v>38</v>
      </c>
      <c r="G16" s="60">
        <f>IFERROR(VLOOKUP(表1_3[[#This Row],[使用材料]],[1]材料清单!$D$2:$N$996,4,0),"")</f>
        <v>1090</v>
      </c>
      <c r="H16" s="60">
        <f>IFERROR(VLOOKUP(表1_3[[#This Row],[使用材料]],[1]材料清单!$D$2:$N$996,5,0),"")</f>
        <v>200</v>
      </c>
      <c r="I16" s="49">
        <v>183</v>
      </c>
      <c r="J16" s="50">
        <f>IFERROR(Q16/H16,"")</f>
        <v>0.54285</v>
      </c>
      <c r="K16" s="51">
        <f>IFERROR(J16/M16,"")</f>
        <v>0.0911390366972477</v>
      </c>
      <c r="L16" s="52">
        <f>(M16-INT(M16))*I16</f>
        <v>175</v>
      </c>
      <c r="M16" s="53">
        <f>G16/I16</f>
        <v>5.95628415300546</v>
      </c>
      <c r="N16" s="54">
        <v>77</v>
      </c>
      <c r="O16" s="55">
        <v>1</v>
      </c>
      <c r="P16" s="37">
        <v>1410</v>
      </c>
      <c r="Q16" s="56">
        <f>P16*(N16/1000)/O16</f>
        <v>108.57</v>
      </c>
      <c r="R16" s="56">
        <f>Q16*I16/1000*1.05</f>
        <v>20.8617255</v>
      </c>
      <c r="S16" s="62"/>
      <c r="T16" s="61"/>
      <c r="U16" s="59">
        <f>IFERROR((VLOOKUP(F16,[1]材料清单!D16:K2010,6,0)),"")</f>
        <v>4.8</v>
      </c>
    </row>
    <row r="17" customHeight="1" spans="2:21">
      <c r="B17" s="41"/>
      <c r="C17" s="42"/>
      <c r="D17" s="59"/>
      <c r="E17" s="47"/>
      <c r="F17" s="47" t="s">
        <v>39</v>
      </c>
      <c r="G17" s="60">
        <f>IFERROR(VLOOKUP(表1_3[[#This Row],[使用材料]],[1]材料清单!$D$2:$N$996,4,0),"")</f>
        <v>980</v>
      </c>
      <c r="H17" s="60">
        <f>IFERROR(VLOOKUP(表1_3[[#This Row],[使用材料]],[1]材料清单!$D$2:$N$996,5,0),"")</f>
        <v>50</v>
      </c>
      <c r="I17" s="49">
        <v>171</v>
      </c>
      <c r="J17" s="50">
        <f>IFERROR(Q17/H17,"")</f>
        <v>2.1714</v>
      </c>
      <c r="K17" s="51">
        <f>IFERROR(J17/M17,"")</f>
        <v>0.378887142857143</v>
      </c>
      <c r="L17" s="52">
        <f>(M17-INT(M17))*I17</f>
        <v>125</v>
      </c>
      <c r="M17" s="53">
        <f>G17/I17</f>
        <v>5.73099415204678</v>
      </c>
      <c r="N17" s="54">
        <v>77</v>
      </c>
      <c r="O17" s="55">
        <v>1</v>
      </c>
      <c r="P17" s="37">
        <v>1410</v>
      </c>
      <c r="Q17" s="56">
        <f>P17*(N17/1000)/O17</f>
        <v>108.57</v>
      </c>
      <c r="R17" s="56">
        <f>Q17*I17/1000*1.05</f>
        <v>19.4937435</v>
      </c>
      <c r="S17" s="62"/>
      <c r="T17" s="61"/>
      <c r="U17" s="59">
        <f>IFERROR((VLOOKUP(F17,[1]材料清单!D17:K2011,6,0)),"")</f>
        <v>190</v>
      </c>
    </row>
    <row r="18" customHeight="1" spans="2:21">
      <c r="B18" s="41"/>
      <c r="C18" s="42"/>
      <c r="D18" s="59"/>
      <c r="E18" s="47"/>
      <c r="F18" s="47" t="s">
        <v>40</v>
      </c>
      <c r="G18" s="60">
        <f>IFERROR(VLOOKUP(表1_3[[#This Row],[使用材料]],[1]材料清单!$D$2:$N$996,4,0),"")</f>
        <v>1090</v>
      </c>
      <c r="H18" s="60">
        <f>IFERROR(VLOOKUP(表1_3[[#This Row],[使用材料]],[1]材料清单!$D$2:$N$996,5,0),"")</f>
        <v>200</v>
      </c>
      <c r="I18" s="49">
        <v>183</v>
      </c>
      <c r="J18" s="50">
        <f>IFERROR(Q18/H18,"")</f>
        <v>0.54285</v>
      </c>
      <c r="K18" s="51">
        <f>IFERROR(J18/M18,"")</f>
        <v>0.0911390366972477</v>
      </c>
      <c r="L18" s="52">
        <f>(M18-INT(M18))*I18</f>
        <v>175</v>
      </c>
      <c r="M18" s="53">
        <f>G18/I18</f>
        <v>5.95628415300546</v>
      </c>
      <c r="N18" s="54">
        <v>77</v>
      </c>
      <c r="O18" s="55">
        <v>1</v>
      </c>
      <c r="P18" s="37">
        <v>1410</v>
      </c>
      <c r="Q18" s="56">
        <f>P18*(N18/1000)/O18</f>
        <v>108.57</v>
      </c>
      <c r="R18" s="56">
        <f>Q18*I18/1000*1.05</f>
        <v>20.8617255</v>
      </c>
      <c r="S18" s="62"/>
      <c r="T18" s="61"/>
      <c r="U18" s="59">
        <f>IFERROR((VLOOKUP(F18,[1]材料清单!D18:K2012,6,0)),"")</f>
        <v>3.5</v>
      </c>
    </row>
    <row r="19" customHeight="1" spans="2:21">
      <c r="B19" s="41"/>
      <c r="C19" s="42"/>
      <c r="D19" s="59"/>
      <c r="E19" s="47"/>
      <c r="F19" s="47"/>
      <c r="G19" s="60"/>
      <c r="H19" s="60"/>
      <c r="I19" s="49"/>
      <c r="J19" s="50"/>
      <c r="K19" s="51"/>
      <c r="L19" s="52"/>
      <c r="M19" s="53"/>
      <c r="N19" s="54"/>
      <c r="O19" s="55"/>
      <c r="P19" s="37"/>
      <c r="Q19" s="56"/>
      <c r="R19" s="56"/>
      <c r="S19" s="62"/>
      <c r="T19" s="61"/>
      <c r="U19" s="59"/>
    </row>
    <row r="20" customHeight="1" spans="2:21">
      <c r="B20" s="41"/>
      <c r="C20" s="42" t="s">
        <v>26</v>
      </c>
      <c r="D20" s="59" t="s">
        <v>43</v>
      </c>
      <c r="E20" s="47" t="s">
        <v>43</v>
      </c>
      <c r="F20" s="47" t="s">
        <v>38</v>
      </c>
      <c r="G20" s="60">
        <f>IFERROR(VLOOKUP(表1_3[[#This Row],[使用材料]],[1]材料清单!$D$2:$N$996,4,0),"")</f>
        <v>1090</v>
      </c>
      <c r="H20" s="60">
        <f>IFERROR(VLOOKUP(表1_3[[#This Row],[使用材料]],[1]材料清单!$D$2:$N$996,5,0),"")</f>
        <v>200</v>
      </c>
      <c r="I20" s="49">
        <v>150</v>
      </c>
      <c r="J20" s="50">
        <f>IFERROR(Q20/H20,"")</f>
        <v>0.120290625</v>
      </c>
      <c r="K20" s="51">
        <f>IFERROR(J20/M20,"")</f>
        <v>0.016553755733945</v>
      </c>
      <c r="L20" s="52">
        <f>(M20-INT(M20))*I20</f>
        <v>40</v>
      </c>
      <c r="M20" s="53">
        <f>G20/I20</f>
        <v>7.26666666666667</v>
      </c>
      <c r="N20" s="54">
        <v>273</v>
      </c>
      <c r="O20" s="55">
        <v>16</v>
      </c>
      <c r="P20" s="37">
        <v>1410</v>
      </c>
      <c r="Q20" s="56">
        <f>P20*(N20/1000)/O20</f>
        <v>24.058125</v>
      </c>
      <c r="R20" s="56">
        <f>Q20*I20/1000*1.05</f>
        <v>3.7891546875</v>
      </c>
      <c r="S20" s="62"/>
      <c r="T20" s="61"/>
      <c r="U20" s="59">
        <f>IFERROR((VLOOKUP(F20,[1]材料清单!D19:K2013,6,0)),"")</f>
        <v>4.8</v>
      </c>
    </row>
    <row r="21" customHeight="1" spans="2:21">
      <c r="B21" s="41"/>
      <c r="C21" s="42"/>
      <c r="D21" s="47"/>
      <c r="E21" s="59"/>
      <c r="F21" s="47" t="s">
        <v>39</v>
      </c>
      <c r="G21" s="60">
        <f>IFERROR(VLOOKUP(表1_3[[#This Row],[使用材料]],[1]材料清单!$D$2:$N$996,4,0),"")</f>
        <v>980</v>
      </c>
      <c r="H21" s="60">
        <f>IFERROR(VLOOKUP(表1_3[[#This Row],[使用材料]],[1]材料清单!$D$2:$N$996,5,0),"")</f>
        <v>50</v>
      </c>
      <c r="I21" s="49">
        <v>145</v>
      </c>
      <c r="J21" s="50">
        <f>IFERROR(Q21/H21,"")</f>
        <v>0.4811625</v>
      </c>
      <c r="K21" s="51">
        <f>IFERROR(J21/M21,"")</f>
        <v>0.0711924107142857</v>
      </c>
      <c r="L21" s="52">
        <f>(M21-INT(M21))*I21</f>
        <v>110</v>
      </c>
      <c r="M21" s="53">
        <f>G21/I21</f>
        <v>6.75862068965517</v>
      </c>
      <c r="N21" s="54">
        <v>273</v>
      </c>
      <c r="O21" s="55">
        <v>16</v>
      </c>
      <c r="P21" s="37">
        <v>1410</v>
      </c>
      <c r="Q21" s="56">
        <f>P21*(N21/1000)/O21</f>
        <v>24.058125</v>
      </c>
      <c r="R21" s="56">
        <f>Q21*I21/1000*1.05</f>
        <v>3.66284953125</v>
      </c>
      <c r="S21" s="62"/>
      <c r="T21" s="61"/>
      <c r="U21" s="59">
        <f>IFERROR((VLOOKUP(F21,[1]材料清单!D20:K2014,6,0)),"")</f>
        <v>190</v>
      </c>
    </row>
    <row r="22" customHeight="1" spans="2:21">
      <c r="B22" s="41"/>
      <c r="C22" s="42"/>
      <c r="D22" s="47"/>
      <c r="E22" s="59"/>
      <c r="F22" s="59" t="s">
        <v>40</v>
      </c>
      <c r="G22" s="60">
        <f>IFERROR(VLOOKUP(表1_3[[#This Row],[使用材料]],[1]材料清单!$D$2:$N$996,4,0),"")</f>
        <v>1090</v>
      </c>
      <c r="H22" s="60">
        <f>IFERROR(VLOOKUP(表1_3[[#This Row],[使用材料]],[1]材料清单!$D$2:$N$996,5,0),"")</f>
        <v>200</v>
      </c>
      <c r="I22" s="49">
        <v>150</v>
      </c>
      <c r="J22" s="50">
        <f>IFERROR(Q22/H22,"")</f>
        <v>0.120290625</v>
      </c>
      <c r="K22" s="51">
        <f>IFERROR(J22/M22,"")</f>
        <v>0.016553755733945</v>
      </c>
      <c r="L22" s="52">
        <f>(M22-INT(M22))*I22</f>
        <v>40</v>
      </c>
      <c r="M22" s="53">
        <f>G22/I22</f>
        <v>7.26666666666667</v>
      </c>
      <c r="N22" s="54">
        <v>273</v>
      </c>
      <c r="O22" s="55">
        <v>16</v>
      </c>
      <c r="P22" s="37">
        <v>1410</v>
      </c>
      <c r="Q22" s="56">
        <f>P22*(N22/1000)/O22</f>
        <v>24.058125</v>
      </c>
      <c r="R22" s="56">
        <f>Q22*I22/1000*1.05</f>
        <v>3.7891546875</v>
      </c>
      <c r="S22" s="62"/>
      <c r="T22" s="61"/>
      <c r="U22" s="59">
        <f>IFERROR((VLOOKUP(F22,[1]材料清单!D21:K2015,6,0)),"")</f>
        <v>3.5</v>
      </c>
    </row>
    <row r="23" ht="7.05" customHeight="1" spans="2:21">
      <c r="B23" s="41"/>
      <c r="C23" s="42"/>
      <c r="D23" s="47"/>
      <c r="E23" s="47"/>
      <c r="F23" s="59"/>
      <c r="G23" s="60"/>
      <c r="H23" s="60"/>
      <c r="I23" s="49"/>
      <c r="J23" s="50"/>
      <c r="K23" s="51"/>
      <c r="L23" s="52"/>
      <c r="M23" s="53"/>
      <c r="N23" s="54"/>
      <c r="O23" s="55"/>
      <c r="P23" s="37"/>
      <c r="Q23" s="56"/>
      <c r="R23" s="56"/>
      <c r="S23" s="62"/>
      <c r="T23" s="61"/>
      <c r="U23" s="59"/>
    </row>
    <row r="24" customHeight="1" spans="2:21">
      <c r="B24" s="41"/>
      <c r="C24" s="42" t="s">
        <v>26</v>
      </c>
      <c r="D24" s="47" t="s">
        <v>44</v>
      </c>
      <c r="E24" s="47" t="s">
        <v>44</v>
      </c>
      <c r="F24" s="48" t="s">
        <v>45</v>
      </c>
      <c r="G24" s="60">
        <v>1000</v>
      </c>
      <c r="H24" s="60">
        <f>IFERROR(VLOOKUP(表1_3[[#This Row],[使用材料]],[1]材料清单!$D$2:$N$996,5,0),"")</f>
        <v>50</v>
      </c>
      <c r="I24" s="49">
        <v>125</v>
      </c>
      <c r="J24" s="50">
        <f>IFERROR(Q24/H24,"")</f>
        <v>2.952</v>
      </c>
      <c r="K24" s="51">
        <f>IFERROR(J24/M24,"")</f>
        <v>0.369</v>
      </c>
      <c r="L24" s="52">
        <f>(M24-INT(M24))*I24</f>
        <v>0</v>
      </c>
      <c r="M24" s="63">
        <f>G24/I24</f>
        <v>8</v>
      </c>
      <c r="N24" s="54">
        <v>18</v>
      </c>
      <c r="O24" s="55">
        <v>1</v>
      </c>
      <c r="P24" s="37">
        <v>8200</v>
      </c>
      <c r="Q24" s="56">
        <f>P24*(N24/1000)/O24</f>
        <v>147.6</v>
      </c>
      <c r="R24" s="56">
        <f>Q24*I24/1000*1.05</f>
        <v>19.3725</v>
      </c>
      <c r="S24" s="62" t="s">
        <v>46</v>
      </c>
      <c r="T24" s="61"/>
      <c r="U24" s="59">
        <f>IFERROR((VLOOKUP(F24,[1]材料清单!D22:K2016,6,0)),"")</f>
        <v>190</v>
      </c>
    </row>
    <row r="25" customHeight="1" spans="2:21">
      <c r="B25" s="41"/>
      <c r="C25" s="42"/>
      <c r="D25" s="47"/>
      <c r="E25" s="47"/>
      <c r="F25" s="59" t="s">
        <v>38</v>
      </c>
      <c r="G25" s="60">
        <f>IFERROR(VLOOKUP(表1_3[[#This Row],[使用材料]],[1]材料清单!$D$2:$N$996,4,0),"")</f>
        <v>1090</v>
      </c>
      <c r="H25" s="60">
        <f>IFERROR(VLOOKUP(表1_3[[#This Row],[使用材料]],[1]材料清单!$D$2:$N$996,5,0),"")</f>
        <v>200</v>
      </c>
      <c r="I25" s="49">
        <v>132</v>
      </c>
      <c r="J25" s="50">
        <f>IFERROR(Q25/H25,"")</f>
        <v>0.738</v>
      </c>
      <c r="K25" s="51">
        <f>IFERROR(J25/M25,"")</f>
        <v>0.0893724770642202</v>
      </c>
      <c r="L25" s="52">
        <f>(M25-INT(M25))*I25</f>
        <v>34</v>
      </c>
      <c r="M25" s="53">
        <f>G25/I25</f>
        <v>8.25757575757576</v>
      </c>
      <c r="N25" s="54">
        <v>18</v>
      </c>
      <c r="O25" s="55">
        <v>1</v>
      </c>
      <c r="P25" s="37">
        <f>P24</f>
        <v>8200</v>
      </c>
      <c r="Q25" s="56">
        <f>P25*(N25/1000)/O25</f>
        <v>147.6</v>
      </c>
      <c r="R25" s="56">
        <f>Q25*I25/1000*1.05</f>
        <v>20.45736</v>
      </c>
      <c r="S25" s="62"/>
      <c r="T25" s="61"/>
      <c r="U25" s="59">
        <f>IFERROR((VLOOKUP(F25,[1]材料清单!D23:K2017,6,0)),"")</f>
        <v>4.8</v>
      </c>
    </row>
    <row r="26" customHeight="1" spans="2:21">
      <c r="B26" s="41"/>
      <c r="C26" s="42"/>
      <c r="D26" s="47"/>
      <c r="E26" s="47"/>
      <c r="F26" s="59" t="s">
        <v>40</v>
      </c>
      <c r="G26" s="60">
        <f>IFERROR(VLOOKUP(表1_3[[#This Row],[使用材料]],[1]材料清单!$D$2:$N$996,4,0),"")</f>
        <v>1090</v>
      </c>
      <c r="H26" s="60">
        <f>IFERROR(VLOOKUP(表1_3[[#This Row],[使用材料]],[1]材料清单!$D$2:$N$996,5,0),"")</f>
        <v>200</v>
      </c>
      <c r="I26" s="49">
        <v>150</v>
      </c>
      <c r="J26" s="50">
        <f>IFERROR(Q26/H26,"")</f>
        <v>0.738</v>
      </c>
      <c r="K26" s="51">
        <f>IFERROR(J26/M26,"")</f>
        <v>0.101559633027523</v>
      </c>
      <c r="L26" s="52">
        <f>(M26-INT(M26))*I26</f>
        <v>40</v>
      </c>
      <c r="M26" s="53">
        <f>G26/I26</f>
        <v>7.26666666666667</v>
      </c>
      <c r="N26" s="54">
        <v>18</v>
      </c>
      <c r="O26" s="55">
        <v>1</v>
      </c>
      <c r="P26" s="37">
        <v>8200</v>
      </c>
      <c r="Q26" s="56">
        <f>P26*(N26/1000)/O26</f>
        <v>147.6</v>
      </c>
      <c r="R26" s="56">
        <f>Q26*I26/1000*1.05</f>
        <v>23.247</v>
      </c>
      <c r="S26" s="62"/>
      <c r="T26" s="61"/>
      <c r="U26" s="59">
        <f>IFERROR((VLOOKUP(F26,[1]材料清单!D24:K2018,6,0)),"")</f>
        <v>3.5</v>
      </c>
    </row>
    <row r="27" ht="10.95" customHeight="1" spans="2:21">
      <c r="B27" s="41"/>
      <c r="C27" s="42"/>
      <c r="D27" s="47"/>
      <c r="E27" s="47"/>
      <c r="F27" s="59"/>
      <c r="G27" s="60"/>
      <c r="H27" s="60"/>
      <c r="I27" s="49"/>
      <c r="J27" s="50"/>
      <c r="K27" s="51"/>
      <c r="L27" s="52"/>
      <c r="M27" s="53"/>
      <c r="N27" s="54"/>
      <c r="O27" s="55"/>
      <c r="P27" s="37"/>
      <c r="Q27" s="56"/>
      <c r="R27" s="56"/>
      <c r="S27" s="62"/>
      <c r="T27" s="61"/>
      <c r="U27" s="59"/>
    </row>
    <row r="28" customHeight="1" spans="2:21">
      <c r="B28" s="41"/>
      <c r="C28" s="42" t="s">
        <v>26</v>
      </c>
      <c r="D28" s="47" t="s">
        <v>47</v>
      </c>
      <c r="E28" s="47" t="s">
        <v>47</v>
      </c>
      <c r="F28" s="48" t="s">
        <v>45</v>
      </c>
      <c r="G28" s="60">
        <v>1000</v>
      </c>
      <c r="H28" s="60">
        <f>IFERROR(VLOOKUP(表1_3[[#This Row],[使用材料]],[1]材料清单!$D$2:$N$996,5,0),"")</f>
        <v>50</v>
      </c>
      <c r="I28" s="49">
        <v>125</v>
      </c>
      <c r="J28" s="50">
        <f>IFERROR(Q28/H28,"")</f>
        <v>1.9812</v>
      </c>
      <c r="K28" s="51">
        <f>IFERROR(J28/M28,"")</f>
        <v>0.24765</v>
      </c>
      <c r="L28" s="52">
        <f>(M28-INT(M28))*I28</f>
        <v>0</v>
      </c>
      <c r="M28" s="53">
        <f>G28/I28</f>
        <v>8</v>
      </c>
      <c r="N28" s="54">
        <v>12.7</v>
      </c>
      <c r="O28" s="55">
        <v>1</v>
      </c>
      <c r="P28" s="37">
        <v>7800</v>
      </c>
      <c r="Q28" s="56">
        <f>P28*(N28/1000)/O28</f>
        <v>99.06</v>
      </c>
      <c r="R28" s="56">
        <f>Q28*I28/1000*1.05</f>
        <v>13.001625</v>
      </c>
      <c r="S28" s="62"/>
      <c r="T28" s="61"/>
      <c r="U28" s="59">
        <f>IFERROR((VLOOKUP(F28,[1]材料清单!D25:K2019,6,0)),"")</f>
        <v>190</v>
      </c>
    </row>
    <row r="29" customHeight="1" spans="2:21">
      <c r="B29" s="41"/>
      <c r="C29" s="42"/>
      <c r="D29" s="47"/>
      <c r="E29" s="47"/>
      <c r="F29" s="59" t="s">
        <v>38</v>
      </c>
      <c r="G29" s="60">
        <f>IFERROR(VLOOKUP(表1_3[[#This Row],[使用材料]],[1]材料清单!$D$2:$N$996,4,0),"")</f>
        <v>1090</v>
      </c>
      <c r="H29" s="60">
        <f>IFERROR(VLOOKUP(表1_3[[#This Row],[使用材料]],[1]材料清单!$D$2:$N$996,5,0),"")</f>
        <v>200</v>
      </c>
      <c r="I29" s="49">
        <v>132</v>
      </c>
      <c r="J29" s="50">
        <f>IFERROR(Q29/H29,"")</f>
        <v>0.4953</v>
      </c>
      <c r="K29" s="51">
        <f>IFERROR(J29/M29,"")</f>
        <v>0.0599812844036697</v>
      </c>
      <c r="L29" s="52">
        <f>(M29-INT(M29))*I29</f>
        <v>34</v>
      </c>
      <c r="M29" s="53">
        <f>G29/I29</f>
        <v>8.25757575757576</v>
      </c>
      <c r="N29" s="54">
        <v>12.7</v>
      </c>
      <c r="O29" s="55">
        <v>1</v>
      </c>
      <c r="P29" s="37">
        <f>P28</f>
        <v>7800</v>
      </c>
      <c r="Q29" s="56">
        <f>P29*(N29/1000)/O29</f>
        <v>99.06</v>
      </c>
      <c r="R29" s="56">
        <f>Q29*I29/1000*1.05</f>
        <v>13.729716</v>
      </c>
      <c r="S29" s="62"/>
      <c r="T29" s="61"/>
      <c r="U29" s="59">
        <f>IFERROR((VLOOKUP(F29,[1]材料清单!D26:K2020,6,0)),"")</f>
        <v>4.8</v>
      </c>
    </row>
    <row r="30" customHeight="1" spans="2:21">
      <c r="B30" s="41"/>
      <c r="C30" s="42"/>
      <c r="D30" s="47"/>
      <c r="E30" s="47"/>
      <c r="F30" s="59" t="s">
        <v>40</v>
      </c>
      <c r="G30" s="60">
        <f>IFERROR(VLOOKUP(表1_3[[#This Row],[使用材料]],[1]材料清单!$D$2:$N$996,4,0),"")</f>
        <v>1090</v>
      </c>
      <c r="H30" s="60">
        <f>IFERROR(VLOOKUP(表1_3[[#This Row],[使用材料]],[1]材料清单!$D$2:$N$996,5,0),"")</f>
        <v>200</v>
      </c>
      <c r="I30" s="49">
        <v>150</v>
      </c>
      <c r="J30" s="50">
        <f>IFERROR(Q30/H30,"")</f>
        <v>0.4953</v>
      </c>
      <c r="K30" s="51">
        <f>IFERROR(J30/M30,"")</f>
        <v>0.0681605504587156</v>
      </c>
      <c r="L30" s="52">
        <f>(M30-INT(M30))*I30</f>
        <v>40</v>
      </c>
      <c r="M30" s="53">
        <f>G30/I30</f>
        <v>7.26666666666667</v>
      </c>
      <c r="N30" s="54">
        <v>12.7</v>
      </c>
      <c r="O30" s="55">
        <v>1</v>
      </c>
      <c r="P30" s="37">
        <f>P29</f>
        <v>7800</v>
      </c>
      <c r="Q30" s="56">
        <f>P30*(N30/1000)/O30</f>
        <v>99.06</v>
      </c>
      <c r="R30" s="56">
        <f>Q30*I30/1000*1.05</f>
        <v>15.60195</v>
      </c>
      <c r="S30" s="62"/>
      <c r="T30" s="61"/>
      <c r="U30" s="59">
        <f>IFERROR((VLOOKUP(F30,[1]材料清单!D27:K2021,6,0)),"")</f>
        <v>3.5</v>
      </c>
    </row>
    <row r="31" customHeight="1" spans="2:21">
      <c r="B31" s="41"/>
      <c r="C31" s="42" t="s">
        <v>26</v>
      </c>
      <c r="D31" s="47" t="s">
        <v>48</v>
      </c>
      <c r="E31" s="47" t="s">
        <v>48</v>
      </c>
      <c r="F31" s="48" t="s">
        <v>45</v>
      </c>
      <c r="G31" s="60">
        <f>IFERROR(VLOOKUP(表1_3[[#This Row],[使用材料]],[1]材料清单!$D$2:$N$996,4,0),"")</f>
        <v>980</v>
      </c>
      <c r="H31" s="60">
        <f>IFERROR(VLOOKUP(表1_3[[#This Row],[使用材料]],[1]材料清单!$D$2:$N$996,5,0),"")</f>
        <v>50</v>
      </c>
      <c r="I31" s="49">
        <v>180</v>
      </c>
      <c r="J31" s="50">
        <f>IFERROR(Q31/H31,"")</f>
        <v>0.759</v>
      </c>
      <c r="K31" s="51">
        <f>IFERROR(J31/M31,"")</f>
        <v>0.139408163265306</v>
      </c>
      <c r="L31" s="52">
        <f>(M31-INT(M31))*I31</f>
        <v>80</v>
      </c>
      <c r="M31" s="53">
        <f>G31/I31</f>
        <v>5.44444444444444</v>
      </c>
      <c r="N31" s="54">
        <v>5.5</v>
      </c>
      <c r="O31" s="55">
        <v>1</v>
      </c>
      <c r="P31" s="37">
        <v>6900</v>
      </c>
      <c r="Q31" s="56">
        <f>P31*(N31/1000)/O31</f>
        <v>37.95</v>
      </c>
      <c r="R31" s="56">
        <f>Q31*I31/1000*1.05</f>
        <v>7.17255</v>
      </c>
      <c r="S31" s="62"/>
      <c r="T31" s="61"/>
      <c r="U31" s="59">
        <f>IFERROR((VLOOKUP(F31,[1]材料清单!D28:K2022,6,0)),"")</f>
        <v>190</v>
      </c>
    </row>
    <row r="32" customHeight="1" spans="2:21">
      <c r="B32" s="41"/>
      <c r="C32" s="42"/>
      <c r="D32" s="47"/>
      <c r="E32" s="47"/>
      <c r="F32" s="59" t="s">
        <v>38</v>
      </c>
      <c r="G32" s="60">
        <f>IFERROR(VLOOKUP(表1_3[[#This Row],[使用材料]],[1]材料清单!$D$2:$N$996,4,0),"")</f>
        <v>1090</v>
      </c>
      <c r="H32" s="60">
        <f>IFERROR(VLOOKUP(表1_3[[#This Row],[使用材料]],[1]材料清单!$D$2:$N$996,5,0),"")</f>
        <v>200</v>
      </c>
      <c r="I32" s="49">
        <v>200</v>
      </c>
      <c r="J32" s="50">
        <f>IFERROR(Q32/H32,"")</f>
        <v>0.18975</v>
      </c>
      <c r="K32" s="51">
        <f>IFERROR(J32/M32,"")</f>
        <v>0.0348165137614679</v>
      </c>
      <c r="L32" s="52">
        <f>(M32-INT(M32))*I32</f>
        <v>90</v>
      </c>
      <c r="M32" s="53">
        <f>G32/I32</f>
        <v>5.45</v>
      </c>
      <c r="N32" s="54">
        <f>N31</f>
        <v>5.5</v>
      </c>
      <c r="O32" s="55">
        <v>1</v>
      </c>
      <c r="P32" s="37">
        <v>6900</v>
      </c>
      <c r="Q32" s="56">
        <f>P32*(N32/1000)/O32</f>
        <v>37.95</v>
      </c>
      <c r="R32" s="56">
        <f>Q32*I32/1000*1.05</f>
        <v>7.9695</v>
      </c>
      <c r="S32" s="62"/>
      <c r="T32" s="61"/>
      <c r="U32" s="59">
        <f>IFERROR((VLOOKUP(F32,[1]材料清单!D29:K2023,6,0)),"")</f>
        <v>4.8</v>
      </c>
    </row>
    <row r="33" customHeight="1" spans="2:21">
      <c r="B33" s="41"/>
      <c r="C33" s="42"/>
      <c r="D33" s="47"/>
      <c r="E33" s="47"/>
      <c r="F33" s="59" t="s">
        <v>40</v>
      </c>
      <c r="G33" s="60">
        <f>IFERROR(VLOOKUP(表1_3[[#This Row],[使用材料]],[1]材料清单!$D$2:$N$996,4,0),"")</f>
        <v>1090</v>
      </c>
      <c r="H33" s="60">
        <f>IFERROR(VLOOKUP(表1_3[[#This Row],[使用材料]],[1]材料清单!$D$2:$N$996,5,0),"")</f>
        <v>200</v>
      </c>
      <c r="I33" s="49">
        <v>200</v>
      </c>
      <c r="J33" s="50">
        <f>IFERROR(Q33/H33,"")</f>
        <v>0.18975</v>
      </c>
      <c r="K33" s="51">
        <f>IFERROR(J33/M33,"")</f>
        <v>0.0348165137614679</v>
      </c>
      <c r="L33" s="52">
        <f>(M33-INT(M33))*I33</f>
        <v>90</v>
      </c>
      <c r="M33" s="53">
        <f>G33/I33</f>
        <v>5.45</v>
      </c>
      <c r="N33" s="54">
        <f>N32</f>
        <v>5.5</v>
      </c>
      <c r="O33" s="55">
        <v>1</v>
      </c>
      <c r="P33" s="37">
        <v>6900</v>
      </c>
      <c r="Q33" s="56">
        <f>P33*(N33/1000)/O33</f>
        <v>37.95</v>
      </c>
      <c r="R33" s="56">
        <f>Q33*I33/1000*1.05</f>
        <v>7.9695</v>
      </c>
      <c r="S33" s="62"/>
      <c r="T33" s="61"/>
      <c r="U33" s="59">
        <f>IFERROR((VLOOKUP(F33,[1]材料清单!D30:K2024,6,0)),"")</f>
        <v>3.5</v>
      </c>
    </row>
    <row r="34" customHeight="1" spans="2:21">
      <c r="B34" s="41"/>
      <c r="C34" s="42" t="s">
        <v>26</v>
      </c>
      <c r="D34" s="47" t="s">
        <v>49</v>
      </c>
      <c r="E34" s="47" t="s">
        <v>49</v>
      </c>
      <c r="F34" s="48" t="s">
        <v>45</v>
      </c>
      <c r="G34" s="60">
        <f>IFERROR(VLOOKUP(表1_3[[#This Row],[使用材料]],[1]材料清单!$D$2:$N$996,4,0),"")</f>
        <v>980</v>
      </c>
      <c r="H34" s="60">
        <f>IFERROR(VLOOKUP(表1_3[[#This Row],[使用材料]],[1]材料清单!$D$2:$N$996,5,0),"")</f>
        <v>50</v>
      </c>
      <c r="I34" s="49">
        <v>180</v>
      </c>
      <c r="J34" s="50">
        <f>IFERROR(Q34/H34,"")</f>
        <v>0.759</v>
      </c>
      <c r="K34" s="51">
        <f>IFERROR(J34/M34,"")</f>
        <v>0.139408163265306</v>
      </c>
      <c r="L34" s="52">
        <f>(M34-INT(M34))*I34</f>
        <v>80</v>
      </c>
      <c r="M34" s="53">
        <f>G34/I34</f>
        <v>5.44444444444444</v>
      </c>
      <c r="N34" s="54">
        <f>N33</f>
        <v>5.5</v>
      </c>
      <c r="O34" s="55">
        <v>1</v>
      </c>
      <c r="P34" s="37">
        <v>6900</v>
      </c>
      <c r="Q34" s="56">
        <f>P34*(N34/1000)/O34</f>
        <v>37.95</v>
      </c>
      <c r="R34" s="56">
        <f>Q34*I34/1000*1.05</f>
        <v>7.17255</v>
      </c>
      <c r="S34" s="62"/>
      <c r="T34" s="61"/>
      <c r="U34" s="59">
        <f>IFERROR((VLOOKUP(F34,[1]材料清单!D31:K2025,6,0)),"")</f>
        <v>190</v>
      </c>
    </row>
    <row r="35" customHeight="1" spans="2:21">
      <c r="B35" s="41"/>
      <c r="C35" s="42"/>
      <c r="D35" s="47"/>
      <c r="E35" s="47"/>
      <c r="F35" s="59" t="s">
        <v>38</v>
      </c>
      <c r="G35" s="60">
        <f>IFERROR(VLOOKUP(表1_3[[#This Row],[使用材料]],[1]材料清单!$D$2:$N$996,4,0),"")</f>
        <v>1090</v>
      </c>
      <c r="H35" s="60">
        <f>IFERROR(VLOOKUP(表1_3[[#This Row],[使用材料]],[1]材料清单!$D$2:$N$996,5,0),"")</f>
        <v>200</v>
      </c>
      <c r="I35" s="49">
        <v>200</v>
      </c>
      <c r="J35" s="50">
        <f>IFERROR(Q35/H35,"")</f>
        <v>0.18975</v>
      </c>
      <c r="K35" s="51">
        <f>IFERROR(J35/M35,"")</f>
        <v>0.0348165137614679</v>
      </c>
      <c r="L35" s="52">
        <f>(M35-INT(M35))*I35</f>
        <v>90</v>
      </c>
      <c r="M35" s="53">
        <f>G35/I35</f>
        <v>5.45</v>
      </c>
      <c r="N35" s="54">
        <f>N34</f>
        <v>5.5</v>
      </c>
      <c r="O35" s="55">
        <v>1</v>
      </c>
      <c r="P35" s="37">
        <v>6900</v>
      </c>
      <c r="Q35" s="56">
        <f>P35*(N35/1000)/O35</f>
        <v>37.95</v>
      </c>
      <c r="R35" s="56">
        <f>Q35*I35/1000*1.05</f>
        <v>7.9695</v>
      </c>
      <c r="S35" s="62"/>
      <c r="T35" s="61"/>
      <c r="U35" s="59">
        <f>IFERROR((VLOOKUP(F35,[1]材料清单!D32:K2026,6,0)),"")</f>
        <v>4.8</v>
      </c>
    </row>
    <row r="36" customHeight="1" spans="2:21">
      <c r="B36" s="41"/>
      <c r="C36" s="42"/>
      <c r="D36" s="47"/>
      <c r="E36" s="47"/>
      <c r="F36" s="59" t="s">
        <v>40</v>
      </c>
      <c r="G36" s="60">
        <f>IFERROR(VLOOKUP(表1_3[[#This Row],[使用材料]],[1]材料清单!$D$2:$N$996,4,0),"")</f>
        <v>1090</v>
      </c>
      <c r="H36" s="60">
        <f>IFERROR(VLOOKUP(表1_3[[#This Row],[使用材料]],[1]材料清单!$D$2:$N$996,5,0),"")</f>
        <v>200</v>
      </c>
      <c r="I36" s="49">
        <v>200</v>
      </c>
      <c r="J36" s="50">
        <f>IFERROR(Q36/H36,"")</f>
        <v>0.18975</v>
      </c>
      <c r="K36" s="51">
        <f>IFERROR(J36/M36,"")</f>
        <v>0.0348165137614679</v>
      </c>
      <c r="L36" s="52">
        <f>IFERROR((M36-INT(M36))*I36,"")</f>
        <v>90</v>
      </c>
      <c r="M36" s="53">
        <f>IFERROR(G36/I36,"")</f>
        <v>5.45</v>
      </c>
      <c r="N36" s="54">
        <f>N35</f>
        <v>5.5</v>
      </c>
      <c r="O36" s="55">
        <v>1</v>
      </c>
      <c r="P36" s="37">
        <v>6900</v>
      </c>
      <c r="Q36" s="56">
        <f>IFERROR(P36*(N36/1000)/O36,"")</f>
        <v>37.95</v>
      </c>
      <c r="R36" s="56">
        <f>IFERROR(Q36*I36/1000*1.05,"")</f>
        <v>7.9695</v>
      </c>
      <c r="S36" s="62"/>
      <c r="T36" s="61"/>
      <c r="U36" s="59">
        <f>IFERROR((VLOOKUP(F36,[1]材料清单!D33:K2027,6,0)),"")</f>
        <v>3.5</v>
      </c>
    </row>
    <row r="37" customHeight="1" spans="2:21">
      <c r="B37" s="41"/>
      <c r="C37" s="42" t="s">
        <v>26</v>
      </c>
      <c r="D37" s="47" t="s">
        <v>50</v>
      </c>
      <c r="E37" s="47" t="s">
        <v>51</v>
      </c>
      <c r="F37" s="26" t="s">
        <v>52</v>
      </c>
      <c r="G37" s="60">
        <f>IFERROR(VLOOKUP(表1_3[[#This Row],[使用材料]],[1]材料清单!$D$2:$N$996,4,0),"")</f>
        <v>600</v>
      </c>
      <c r="H37" s="60">
        <f>IFERROR(VLOOKUP(表1_3[[#This Row],[使用材料]],[1]材料清单!$D$2:$N$996,5,0),"")</f>
        <v>33</v>
      </c>
      <c r="I37" s="64">
        <v>185</v>
      </c>
      <c r="J37" s="50">
        <f>IFERROR(Q37/H37,"")</f>
        <v>2.26369696969697</v>
      </c>
      <c r="K37" s="51">
        <f>IFERROR(J37/M37,"")</f>
        <v>0.697973232323232</v>
      </c>
      <c r="L37" s="52">
        <f>IFERROR((M37-INT(M37))*I37,"")</f>
        <v>45</v>
      </c>
      <c r="M37" s="53">
        <f>IFERROR(G37/I37,"")</f>
        <v>3.24324324324324</v>
      </c>
      <c r="N37" s="65">
        <v>9.11</v>
      </c>
      <c r="O37" s="60">
        <v>1</v>
      </c>
      <c r="P37" s="66">
        <v>8200</v>
      </c>
      <c r="Q37" s="56">
        <f>IFERROR(P37*(N37/1000)/O37,"")</f>
        <v>74.702</v>
      </c>
      <c r="R37" s="56">
        <f>IFERROR(Q37*I37/1000*1.05,"")</f>
        <v>14.5108635</v>
      </c>
      <c r="S37" s="62"/>
      <c r="T37" s="61"/>
      <c r="U37" s="67">
        <f>IFERROR((VLOOKUP(F37,[1]材料清单!D34:K2028,6,0)),"")</f>
        <v>123.737373737374</v>
      </c>
    </row>
    <row r="38" customHeight="1" spans="2:21">
      <c r="B38" s="41"/>
      <c r="C38" s="42"/>
      <c r="D38" s="47"/>
      <c r="E38" s="47"/>
      <c r="F38" s="26" t="s">
        <v>38</v>
      </c>
      <c r="G38" s="60">
        <f>IFERROR(VLOOKUP(表1_3[[#This Row],[使用材料]],[1]材料清单!$D$2:$N$996,4,0),"")</f>
        <v>1090</v>
      </c>
      <c r="H38" s="60">
        <f>IFERROR(VLOOKUP(表1_3[[#This Row],[使用材料]],[1]材料清单!$D$2:$N$996,5,0),"")</f>
        <v>200</v>
      </c>
      <c r="I38" s="64">
        <v>200</v>
      </c>
      <c r="J38" s="50">
        <f>IFERROR(Q38/H38,"")</f>
        <v>0.37351</v>
      </c>
      <c r="K38" s="51">
        <f>IFERROR(J38/M38,"")</f>
        <v>0.0685339449541284</v>
      </c>
      <c r="L38" s="52">
        <f>IFERROR((M38-INT(M38))*I38,"")</f>
        <v>90</v>
      </c>
      <c r="M38" s="53">
        <f>IFERROR(G38/I38,"")</f>
        <v>5.45</v>
      </c>
      <c r="N38" s="65">
        <f>N37</f>
        <v>9.11</v>
      </c>
      <c r="O38" s="60">
        <v>1</v>
      </c>
      <c r="P38" s="66">
        <f>P37</f>
        <v>8200</v>
      </c>
      <c r="Q38" s="56">
        <f>IFERROR(P38*(N38/1000)/O38,"")</f>
        <v>74.702</v>
      </c>
      <c r="R38" s="56">
        <f>IFERROR(Q38*I38/1000*1.05,"")</f>
        <v>15.68742</v>
      </c>
      <c r="S38" s="62"/>
      <c r="T38" s="61"/>
      <c r="U38" s="67">
        <f>IFERROR((VLOOKUP(F38,[1]材料清单!D35:K2029,6,0)),"")</f>
        <v>4.8</v>
      </c>
    </row>
    <row r="39" customHeight="1" spans="2:21">
      <c r="B39" s="41"/>
      <c r="C39" s="42"/>
      <c r="D39" s="47"/>
      <c r="E39" s="47"/>
      <c r="F39" s="26" t="s">
        <v>40</v>
      </c>
      <c r="G39" s="60">
        <f>IFERROR(VLOOKUP(表1_3[[#This Row],[使用材料]],[1]材料清单!$D$2:$N$996,4,0),"")</f>
        <v>1090</v>
      </c>
      <c r="H39" s="60">
        <f>IFERROR(VLOOKUP(表1_3[[#This Row],[使用材料]],[1]材料清单!$D$2:$N$996,5,0),"")</f>
        <v>200</v>
      </c>
      <c r="I39" s="64">
        <v>200</v>
      </c>
      <c r="J39" s="50">
        <f>IFERROR(Q39/H39,"")</f>
        <v>0.05466</v>
      </c>
      <c r="K39" s="51">
        <f>IFERROR(J39/M39,"")</f>
        <v>0.0100293577981651</v>
      </c>
      <c r="L39" s="52">
        <f>IFERROR((M39-INT(M39))*I39,"")</f>
        <v>90</v>
      </c>
      <c r="M39" s="53">
        <f>IFERROR(G39/I39,"")</f>
        <v>5.45</v>
      </c>
      <c r="N39" s="65">
        <f>N38</f>
        <v>9.11</v>
      </c>
      <c r="O39" s="60">
        <v>1</v>
      </c>
      <c r="P39" s="66">
        <v>1200</v>
      </c>
      <c r="Q39" s="56">
        <f>IFERROR(P39*(N39/1000)/O39,"")</f>
        <v>10.932</v>
      </c>
      <c r="R39" s="56">
        <f>IFERROR(Q39*I39/1000*1.05,"")</f>
        <v>2.29572</v>
      </c>
      <c r="S39" s="62"/>
      <c r="T39" s="61"/>
      <c r="U39" s="67">
        <f>IFERROR((VLOOKUP(F39,[1]材料清单!D36:K2030,6,0)),"")</f>
        <v>3.5</v>
      </c>
    </row>
    <row r="40" customHeight="1" spans="2:21">
      <c r="B40" s="41"/>
      <c r="C40" s="42" t="s">
        <v>26</v>
      </c>
      <c r="D40" s="47" t="s">
        <v>53</v>
      </c>
      <c r="E40" s="47" t="s">
        <v>54</v>
      </c>
      <c r="F40" s="26" t="s">
        <v>52</v>
      </c>
      <c r="G40" s="60">
        <f>IFERROR(VLOOKUP(表1_3[[#This Row],[使用材料]],[1]材料清单!$D$2:$N$996,4,0),"")</f>
        <v>600</v>
      </c>
      <c r="H40" s="60">
        <f>IFERROR(VLOOKUP(表1_3[[#This Row],[使用材料]],[1]材料清单!$D$2:$N$996,5,0),"")</f>
        <v>33</v>
      </c>
      <c r="I40" s="64">
        <v>200</v>
      </c>
      <c r="J40" s="50">
        <f>IFERROR(Q40/H40,"")</f>
        <v>1.32066666666667</v>
      </c>
      <c r="K40" s="51">
        <f>IFERROR(J40/M40,"")</f>
        <v>0.440222222222222</v>
      </c>
      <c r="L40" s="52">
        <f>IFERROR((M40-INT(M40))*I40,"")</f>
        <v>0</v>
      </c>
      <c r="M40" s="53">
        <f>IFERROR(G40/I40,"")</f>
        <v>3</v>
      </c>
      <c r="N40" s="65">
        <v>5.66</v>
      </c>
      <c r="O40" s="60">
        <v>1</v>
      </c>
      <c r="P40" s="66">
        <v>7700</v>
      </c>
      <c r="Q40" s="56">
        <f>IFERROR(P40*(N40/1000)/O40,"")</f>
        <v>43.582</v>
      </c>
      <c r="R40" s="56">
        <f>IFERROR(Q40*I40/1000*1.05,"")</f>
        <v>9.15222</v>
      </c>
      <c r="S40" s="62"/>
      <c r="T40" s="61"/>
      <c r="U40" s="67">
        <f>IFERROR((VLOOKUP(F40,[1]材料清单!D37:K2031,6,0)),"")</f>
        <v>123.737373737374</v>
      </c>
    </row>
    <row r="41" customHeight="1" spans="2:21">
      <c r="B41" s="41"/>
      <c r="C41" s="42"/>
      <c r="D41" s="47"/>
      <c r="E41" s="47"/>
      <c r="F41" s="26" t="s">
        <v>38</v>
      </c>
      <c r="G41" s="60">
        <f>IFERROR(VLOOKUP(表1_3[[#This Row],[使用材料]],[1]材料清单!$D$2:$N$996,4,0),"")</f>
        <v>1090</v>
      </c>
      <c r="H41" s="60">
        <f>IFERROR(VLOOKUP(表1_3[[#This Row],[使用材料]],[1]材料清单!$D$2:$N$996,5,0),"")</f>
        <v>200</v>
      </c>
      <c r="I41" s="64">
        <v>210</v>
      </c>
      <c r="J41" s="50">
        <f>IFERROR(Q41/H41,"")</f>
        <v>0.21791</v>
      </c>
      <c r="K41" s="51">
        <f>IFERROR(J41/M41,"")</f>
        <v>0.0419826605504587</v>
      </c>
      <c r="L41" s="52">
        <f>IFERROR((M41-INT(M41))*I41,"")</f>
        <v>40</v>
      </c>
      <c r="M41" s="53">
        <f>IFERROR(G41/I41,"")</f>
        <v>5.19047619047619</v>
      </c>
      <c r="N41" s="65">
        <f>N40</f>
        <v>5.66</v>
      </c>
      <c r="O41" s="60">
        <v>1</v>
      </c>
      <c r="P41" s="66">
        <f>P40</f>
        <v>7700</v>
      </c>
      <c r="Q41" s="56">
        <f>IFERROR(P41*(N41/1000)/O41,"")</f>
        <v>43.582</v>
      </c>
      <c r="R41" s="56">
        <f>IFERROR(Q41*I41/1000*1.05,"")</f>
        <v>9.609831</v>
      </c>
      <c r="S41" s="62"/>
      <c r="T41" s="61"/>
      <c r="U41" s="67">
        <f>IFERROR((VLOOKUP(F41,[1]材料清单!D38:K2032,6,0)),"")</f>
        <v>4.8</v>
      </c>
    </row>
    <row r="42" customHeight="1" spans="2:21">
      <c r="B42" s="41"/>
      <c r="C42" s="42"/>
      <c r="D42" s="47"/>
      <c r="E42" s="47"/>
      <c r="F42" s="26" t="s">
        <v>40</v>
      </c>
      <c r="G42" s="60">
        <f>IFERROR(VLOOKUP(表1_3[[#This Row],[使用材料]],[1]材料清单!$D$2:$N$996,4,0),"")</f>
        <v>1090</v>
      </c>
      <c r="H42" s="60">
        <f>IFERROR(VLOOKUP(表1_3[[#This Row],[使用材料]],[1]材料清单!$D$2:$N$996,5,0),"")</f>
        <v>200</v>
      </c>
      <c r="I42" s="64">
        <v>210</v>
      </c>
      <c r="J42" s="50">
        <f>IFERROR(Q42/H42,"")</f>
        <v>0.21791</v>
      </c>
      <c r="K42" s="51">
        <f>IFERROR(J42/M42,"")</f>
        <v>0.0419826605504587</v>
      </c>
      <c r="L42" s="52">
        <f>IFERROR((M42-INT(M42))*I42,"")</f>
        <v>40</v>
      </c>
      <c r="M42" s="53">
        <f>IFERROR(G42/I42,"")</f>
        <v>5.19047619047619</v>
      </c>
      <c r="N42" s="65">
        <f>N41</f>
        <v>5.66</v>
      </c>
      <c r="O42" s="60">
        <v>1</v>
      </c>
      <c r="P42" s="66">
        <f>P41</f>
        <v>7700</v>
      </c>
      <c r="Q42" s="56">
        <f>IFERROR(P42*(N42/1000)/O42,"")</f>
        <v>43.582</v>
      </c>
      <c r="R42" s="56">
        <f>IFERROR(Q42*I42/1000*1.05,"")</f>
        <v>9.609831</v>
      </c>
      <c r="S42" s="62"/>
      <c r="T42" s="61"/>
      <c r="U42" s="67">
        <f>IFERROR((VLOOKUP(F42,[1]材料清单!D39:K2033,6,0)),"")</f>
        <v>3.5</v>
      </c>
    </row>
    <row r="43" customHeight="1" spans="2:21">
      <c r="B43" s="41"/>
      <c r="C43" s="42" t="s">
        <v>26</v>
      </c>
      <c r="D43" s="47" t="s">
        <v>55</v>
      </c>
      <c r="E43" s="47" t="s">
        <v>56</v>
      </c>
      <c r="F43" s="26" t="s">
        <v>45</v>
      </c>
      <c r="G43" s="60">
        <f>IFERROR(VLOOKUP(表1_3[[#This Row],[使用材料]],[1]材料清单!$D$2:$N$996,4,0),"")</f>
        <v>980</v>
      </c>
      <c r="H43" s="60">
        <f>IFERROR(VLOOKUP(表1_3[[#This Row],[使用材料]],[1]材料清单!$D$2:$N$996,5,0),"")</f>
        <v>50</v>
      </c>
      <c r="I43" s="64">
        <v>171</v>
      </c>
      <c r="J43" s="50">
        <f>IFERROR(Q43/H43,"")</f>
        <v>4.84</v>
      </c>
      <c r="K43" s="51">
        <f>IFERROR(J43/M43,"")</f>
        <v>0.844530612244898</v>
      </c>
      <c r="L43" s="52">
        <f>IFERROR((M43-INT(M43))*I43,"")</f>
        <v>125</v>
      </c>
      <c r="M43" s="53">
        <f>IFERROR(G43/I43,"")</f>
        <v>5.73099415204678</v>
      </c>
      <c r="N43" s="65">
        <v>121</v>
      </c>
      <c r="O43" s="60">
        <v>1</v>
      </c>
      <c r="P43" s="66">
        <v>2000</v>
      </c>
      <c r="Q43" s="56">
        <f>IFERROR(P43*(N43/1000)/O43,"")</f>
        <v>242</v>
      </c>
      <c r="R43" s="56">
        <f>IFERROR(Q43*I43/1000*1.05,"")</f>
        <v>43.4511</v>
      </c>
      <c r="S43" s="62"/>
      <c r="T43" s="61"/>
      <c r="U43" s="67">
        <f>IFERROR((VLOOKUP(F43,[1]材料清单!D40:K2034,6,0)),"")</f>
        <v>190</v>
      </c>
    </row>
    <row r="44" customHeight="1" spans="2:21">
      <c r="B44" s="41"/>
      <c r="C44" s="42"/>
      <c r="D44" s="47"/>
      <c r="E44" s="47"/>
      <c r="F44" s="48" t="s">
        <v>40</v>
      </c>
      <c r="G44" s="60">
        <f>IFERROR(VLOOKUP(表1_3[[#This Row],[使用材料]],[1]材料清单!$D$2:$N$996,4,0),"")</f>
        <v>1090</v>
      </c>
      <c r="H44" s="60">
        <f>IFERROR(VLOOKUP(表1_3[[#This Row],[使用材料]],[1]材料清单!$D$2:$N$996,5,0),"")</f>
        <v>200</v>
      </c>
      <c r="I44" s="49">
        <v>183</v>
      </c>
      <c r="J44" s="50">
        <f>IFERROR(Q44/H44,"")</f>
        <v>1.21</v>
      </c>
      <c r="K44" s="51">
        <f>IFERROR(J44/M44,"")</f>
        <v>0.203146788990826</v>
      </c>
      <c r="L44" s="52">
        <f>IFERROR((M44-INT(M44))*I44,"")</f>
        <v>175</v>
      </c>
      <c r="M44" s="53">
        <f>IFERROR(G44/I44,"")</f>
        <v>5.95628415300546</v>
      </c>
      <c r="N44" s="54">
        <v>121</v>
      </c>
      <c r="O44" s="55">
        <v>1</v>
      </c>
      <c r="P44" s="37">
        <f>P43</f>
        <v>2000</v>
      </c>
      <c r="Q44" s="56">
        <f>IFERROR(P44*(N44/1000)/O44,"")</f>
        <v>242</v>
      </c>
      <c r="R44" s="56">
        <f>IFERROR(Q44*I44/1000*1.05,"")</f>
        <v>46.5003</v>
      </c>
      <c r="S44" s="62"/>
      <c r="T44" s="61"/>
      <c r="U44" s="67">
        <f>IFERROR((VLOOKUP(F44,[1]材料清单!D41:K2035,6,0)),"")</f>
        <v>3.5</v>
      </c>
    </row>
    <row r="45" customHeight="1" spans="2:21">
      <c r="B45" s="41"/>
      <c r="C45" s="42"/>
      <c r="D45" s="47"/>
      <c r="E45" s="47"/>
      <c r="F45" s="48" t="s">
        <v>38</v>
      </c>
      <c r="G45" s="29">
        <f>IFERROR(VLOOKUP(表1_3[[#This Row],[使用材料]],[1]材料清单!$D$2:$N$996,4,0),"")</f>
        <v>1090</v>
      </c>
      <c r="H45" s="60">
        <f>IFERROR(VLOOKUP(表1_3[[#This Row],[使用材料]],[1]材料清单!$D$2:$N$996,5,0),"")</f>
        <v>200</v>
      </c>
      <c r="I45" s="49">
        <v>183</v>
      </c>
      <c r="J45" s="50">
        <f>IFERROR(Q45/H45,"")</f>
        <v>1.21</v>
      </c>
      <c r="K45" s="51">
        <f>IFERROR(J45/M45,"")</f>
        <v>0.203146788990826</v>
      </c>
      <c r="L45" s="52">
        <f>IFERROR((M45-INT(M45))*I45,"")</f>
        <v>175</v>
      </c>
      <c r="M45" s="53">
        <f>IFERROR(G45/I45,"")</f>
        <v>5.95628415300546</v>
      </c>
      <c r="N45" s="54">
        <v>121</v>
      </c>
      <c r="O45" s="55">
        <v>1</v>
      </c>
      <c r="P45" s="37">
        <f>P44</f>
        <v>2000</v>
      </c>
      <c r="Q45" s="56">
        <f>IFERROR(P45*(N45/1000)/O45,"")</f>
        <v>242</v>
      </c>
      <c r="R45" s="56">
        <f>IFERROR(Q45*I45/1000*1.05,"")</f>
        <v>46.5003</v>
      </c>
      <c r="S45" s="62"/>
      <c r="T45" s="61"/>
      <c r="U45" s="67">
        <f>IFERROR((VLOOKUP(F45,[1]材料清单!D42:K2036,6,0)),"")</f>
        <v>4.8</v>
      </c>
    </row>
    <row r="46" customHeight="1" spans="2:21">
      <c r="B46" s="41"/>
      <c r="C46" s="42"/>
      <c r="D46" s="47"/>
      <c r="E46" s="47"/>
      <c r="F46" s="48"/>
      <c r="G46" s="60" t="str">
        <f>IFERROR(VLOOKUP(表1_3[[#This Row],[使用材料]],[1]材料清单!$D$2:$N$996,4,0),"")</f>
        <v/>
      </c>
      <c r="H46" s="60" t="str">
        <f>IFERROR(VLOOKUP(表1_3[[#This Row],[使用材料]],[1]材料清单!$D$2:$N$996,5,0),"")</f>
        <v/>
      </c>
      <c r="I46" s="49"/>
      <c r="J46" s="50" t="str">
        <f>IFERROR(Q46/H46,"")</f>
        <v/>
      </c>
      <c r="K46" s="51" t="str">
        <f>IFERROR(J46/M46,"")</f>
        <v/>
      </c>
      <c r="L46" s="68"/>
      <c r="M46" s="53" t="str">
        <f>IFERROR(G46/I46,"")</f>
        <v/>
      </c>
      <c r="N46" s="54"/>
      <c r="O46" s="55"/>
      <c r="P46" s="37"/>
      <c r="Q46" s="56" t="str">
        <f>IFERROR(P46*(N46/1000)/O46,"")</f>
        <v/>
      </c>
      <c r="R46" s="56" t="str">
        <f>IFERROR(Q46*I46/1000*1.05,"")</f>
        <v/>
      </c>
      <c r="S46" s="62"/>
      <c r="T46" s="61"/>
      <c r="U46" s="59" t="str">
        <f>IFERROR((VLOOKUP(F46,[1]材料清单!D43:K2037,6,0)),"")</f>
        <v/>
      </c>
    </row>
    <row r="47" customHeight="1" spans="2:21">
      <c r="B47" s="41"/>
      <c r="C47" s="42"/>
      <c r="D47" s="47"/>
      <c r="E47" s="47"/>
      <c r="F47" s="48"/>
      <c r="G47" s="60" t="str">
        <f>IFERROR(VLOOKUP(表1_3[[#This Row],[使用材料]],[1]材料清单!$D$2:$N$996,4,0),"")</f>
        <v/>
      </c>
      <c r="H47" s="60" t="str">
        <f>IFERROR(VLOOKUP(表1_3[[#This Row],[使用材料]],[1]材料清单!$D$2:$N$996,5,0),"")</f>
        <v/>
      </c>
      <c r="I47" s="49"/>
      <c r="J47" s="50" t="str">
        <f>IFERROR(Q47/H47,"")</f>
        <v/>
      </c>
      <c r="K47" s="51" t="str">
        <f>IFERROR(J47/M47,"")</f>
        <v/>
      </c>
      <c r="L47" s="68"/>
      <c r="M47" s="53" t="str">
        <f>IFERROR(G47/I47,"")</f>
        <v/>
      </c>
      <c r="N47" s="54"/>
      <c r="O47" s="55"/>
      <c r="P47" s="37"/>
      <c r="Q47" s="56" t="str">
        <f>IFERROR(P47*(N47/1000)/O47,"")</f>
        <v/>
      </c>
      <c r="R47" s="56" t="str">
        <f>IFERROR(Q47*I47/1000*1.05,"")</f>
        <v/>
      </c>
      <c r="S47" s="62"/>
      <c r="T47" s="61"/>
      <c r="U47" s="59" t="str">
        <f>IFERROR((VLOOKUP(F47,[1]材料清单!D44:K2038,6,0)),"")</f>
        <v/>
      </c>
    </row>
    <row r="48" customHeight="1" spans="2:21">
      <c r="B48" s="41"/>
      <c r="C48" s="42"/>
      <c r="D48" s="47"/>
      <c r="E48" s="47"/>
      <c r="F48" s="48"/>
      <c r="G48" s="60" t="str">
        <f>IFERROR(VLOOKUP(表1_3[[#This Row],[使用材料]],[1]材料清单!$D$2:$N$996,4,0),"")</f>
        <v/>
      </c>
      <c r="H48" s="60" t="str">
        <f>IFERROR(VLOOKUP(表1_3[[#This Row],[使用材料]],[1]材料清单!$D$2:$N$996,5,0),"")</f>
        <v/>
      </c>
      <c r="I48" s="49"/>
      <c r="J48" s="50" t="str">
        <f>IFERROR(Q48/H48,"")</f>
        <v/>
      </c>
      <c r="K48" s="51" t="str">
        <f>IFERROR(J48/M48,"")</f>
        <v/>
      </c>
      <c r="L48" s="52"/>
      <c r="M48" s="53" t="str">
        <f>IFERROR(G48/I48,"")</f>
        <v/>
      </c>
      <c r="N48" s="54"/>
      <c r="O48" s="55"/>
      <c r="P48" s="37"/>
      <c r="Q48" s="56" t="str">
        <f>IFERROR(P48*(N48/1000)/O48,"")</f>
        <v/>
      </c>
      <c r="R48" s="56" t="str">
        <f>IFERROR(Q48*I48/1000*1.05,"")</f>
        <v/>
      </c>
      <c r="S48" s="62"/>
      <c r="T48" s="61"/>
      <c r="U48" s="59" t="str">
        <f>IFERROR((VLOOKUP(F48,[1]材料清单!D45:K2039,6,0)),"")</f>
        <v/>
      </c>
    </row>
    <row r="49" customHeight="1" spans="2:21">
      <c r="B49" s="41"/>
      <c r="C49" s="42"/>
      <c r="D49" s="47"/>
      <c r="E49" s="47"/>
      <c r="F49" s="48"/>
      <c r="G49" s="60" t="str">
        <f>IFERROR(VLOOKUP(表1_3[[#This Row],[使用材料]],[1]材料清单!$D$2:$N$996,4,0),"")</f>
        <v/>
      </c>
      <c r="H49" s="60" t="str">
        <f>IFERROR(VLOOKUP(表1_3[[#This Row],[使用材料]],[1]材料清单!$D$2:$N$996,5,0),"")</f>
        <v/>
      </c>
      <c r="I49" s="49"/>
      <c r="J49" s="50" t="str">
        <f>IFERROR(Q49/H49,"")</f>
        <v/>
      </c>
      <c r="K49" s="51" t="str">
        <f>IFERROR(J49/M49,"")</f>
        <v/>
      </c>
      <c r="L49" s="52"/>
      <c r="M49" s="53" t="str">
        <f>IFERROR(G49/I49,"")</f>
        <v/>
      </c>
      <c r="N49" s="54"/>
      <c r="O49" s="55"/>
      <c r="P49" s="37"/>
      <c r="Q49" s="56" t="str">
        <f>IFERROR(P49*(N49/1000)/O49,"")</f>
        <v/>
      </c>
      <c r="R49" s="56" t="str">
        <f>IFERROR(Q49*I49/1000*1.05,"")</f>
        <v/>
      </c>
      <c r="S49" s="62"/>
      <c r="T49" s="61"/>
      <c r="U49" s="59" t="str">
        <f>IFERROR((VLOOKUP(F49,[1]材料清单!D46:K2040,6,0)),"")</f>
        <v/>
      </c>
    </row>
    <row r="50" customHeight="1" spans="2:21">
      <c r="B50" s="41"/>
      <c r="C50" s="42"/>
      <c r="D50" s="47"/>
      <c r="E50" s="47"/>
      <c r="F50" s="48"/>
      <c r="G50" s="60" t="str">
        <f>IFERROR(VLOOKUP(表1_3[[#This Row],[使用材料]],[1]材料清单!$D$2:$N$996,4,0),"")</f>
        <v/>
      </c>
      <c r="H50" s="60" t="str">
        <f>IFERROR(VLOOKUP(表1_3[[#This Row],[使用材料]],[1]材料清单!$D$2:$N$996,5,0),"")</f>
        <v/>
      </c>
      <c r="I50" s="49"/>
      <c r="J50" s="50" t="str">
        <f>IFERROR(Q50/H50,"")</f>
        <v/>
      </c>
      <c r="K50" s="51" t="str">
        <f>IFERROR(J50/M50,"")</f>
        <v/>
      </c>
      <c r="L50" s="52"/>
      <c r="M50" s="53" t="str">
        <f>IFERROR(G50/I50,"")</f>
        <v/>
      </c>
      <c r="N50" s="54"/>
      <c r="O50" s="55"/>
      <c r="P50" s="37"/>
      <c r="Q50" s="56" t="str">
        <f>IFERROR(P50*(N50/1000)/O50,"")</f>
        <v/>
      </c>
      <c r="R50" s="56" t="str">
        <f>IFERROR(Q50*I50/1000*1.05,"")</f>
        <v/>
      </c>
      <c r="S50" s="62"/>
      <c r="T50" s="61"/>
      <c r="U50" s="59" t="str">
        <f>IFERROR((VLOOKUP(F50,[1]材料清单!D47:K2041,6,0)),"")</f>
        <v/>
      </c>
    </row>
    <row r="51" customHeight="1" spans="2:21">
      <c r="B51" s="41"/>
      <c r="C51" s="42"/>
      <c r="D51" s="47"/>
      <c r="E51" s="47"/>
      <c r="F51" s="48"/>
      <c r="G51" s="60" t="str">
        <f>IFERROR(VLOOKUP(表1_3[[#This Row],[使用材料]],[1]材料清单!$D$2:$N$996,4,0),"")</f>
        <v/>
      </c>
      <c r="H51" s="60" t="str">
        <f>IFERROR(VLOOKUP(表1_3[[#This Row],[使用材料]],[1]材料清单!$D$2:$N$996,5,0),"")</f>
        <v/>
      </c>
      <c r="I51" s="49"/>
      <c r="J51" s="50" t="str">
        <f>IFERROR(Q51/H51,"")</f>
        <v/>
      </c>
      <c r="K51" s="51" t="str">
        <f>IFERROR(J51/M51,"")</f>
        <v/>
      </c>
      <c r="L51" s="52"/>
      <c r="M51" s="53" t="str">
        <f>IFERROR(G51/I51,"")</f>
        <v/>
      </c>
      <c r="N51" s="54"/>
      <c r="O51" s="55"/>
      <c r="P51" s="37"/>
      <c r="Q51" s="56" t="str">
        <f>IFERROR(P51*(N51/1000)/O51,"")</f>
        <v/>
      </c>
      <c r="R51" s="56" t="str">
        <f>IFERROR(Q51*I51/1000*1.05,"")</f>
        <v/>
      </c>
      <c r="S51" s="62"/>
      <c r="T51" s="61"/>
      <c r="U51" s="59" t="str">
        <f>IFERROR((VLOOKUP(F51,[1]材料清单!D48:K2042,6,0)),"")</f>
        <v/>
      </c>
    </row>
    <row r="52" customHeight="1" spans="2:21">
      <c r="B52" s="41"/>
      <c r="C52" s="42"/>
      <c r="D52" s="47"/>
      <c r="E52" s="47"/>
      <c r="F52" s="48"/>
      <c r="G52" s="60" t="str">
        <f>IFERROR(VLOOKUP(表1_3[[#This Row],[使用材料]],[1]材料清单!$D$2:$N$996,4,0),"")</f>
        <v/>
      </c>
      <c r="H52" s="60" t="str">
        <f>IFERROR(VLOOKUP(表1_3[[#This Row],[使用材料]],[1]材料清单!$D$2:$N$996,5,0),"")</f>
        <v/>
      </c>
      <c r="I52" s="49"/>
      <c r="J52" s="50" t="str">
        <f>IFERROR(Q52/H52,"")</f>
        <v/>
      </c>
      <c r="K52" s="51" t="str">
        <f>IFERROR(J52/M52,"")</f>
        <v/>
      </c>
      <c r="L52" s="52"/>
      <c r="M52" s="53" t="str">
        <f>IFERROR(G52/I52,"")</f>
        <v/>
      </c>
      <c r="N52" s="54"/>
      <c r="O52" s="55"/>
      <c r="P52" s="37"/>
      <c r="Q52" s="56" t="str">
        <f>IFERROR(P52*(N52/1000)/O52,"")</f>
        <v/>
      </c>
      <c r="R52" s="56" t="str">
        <f>IFERROR(Q52*I52/1000*1.05,"")</f>
        <v/>
      </c>
      <c r="S52" s="62"/>
      <c r="T52" s="61"/>
      <c r="U52" s="59" t="str">
        <f>IFERROR((VLOOKUP(F52,[1]材料清单!D49:K2043,6,0)),"")</f>
        <v/>
      </c>
    </row>
    <row r="53" customHeight="1" spans="2:21">
      <c r="B53" s="41"/>
      <c r="C53" s="42"/>
      <c r="D53" s="47"/>
      <c r="E53" s="47"/>
      <c r="F53" s="48"/>
      <c r="G53" s="60" t="str">
        <f>IFERROR(VLOOKUP(表1_3[[#This Row],[使用材料]],[1]材料清单!$D$2:$N$996,4,0),"")</f>
        <v/>
      </c>
      <c r="H53" s="60" t="str">
        <f>IFERROR(VLOOKUP(表1_3[[#This Row],[使用材料]],[1]材料清单!$D$2:$N$996,5,0),"")</f>
        <v/>
      </c>
      <c r="I53" s="49"/>
      <c r="J53" s="50" t="str">
        <f>IFERROR(Q53/H53,"")</f>
        <v/>
      </c>
      <c r="K53" s="51" t="str">
        <f>IFERROR(J53/M53,"")</f>
        <v/>
      </c>
      <c r="L53" s="52"/>
      <c r="M53" s="53" t="str">
        <f>IFERROR(G53/I53,"")</f>
        <v/>
      </c>
      <c r="N53" s="54"/>
      <c r="O53" s="55"/>
      <c r="P53" s="37"/>
      <c r="Q53" s="56" t="str">
        <f>IFERROR(P53*(N53/1000)/O53,"")</f>
        <v/>
      </c>
      <c r="R53" s="56" t="str">
        <f>IFERROR(Q53*I53/1000*1.05,"")</f>
        <v/>
      </c>
      <c r="S53" s="62"/>
      <c r="T53" s="61"/>
      <c r="U53" s="59" t="str">
        <f>IFERROR((VLOOKUP(F53,[1]材料清单!D50:K2044,6,0)),"")</f>
        <v/>
      </c>
    </row>
    <row r="54" customHeight="1" spans="2:21">
      <c r="B54" s="41"/>
      <c r="C54" s="42"/>
      <c r="D54" s="47"/>
      <c r="E54" s="47"/>
      <c r="F54" s="48"/>
      <c r="G54" s="60" t="str">
        <f>IFERROR(VLOOKUP(表1_3[[#This Row],[使用材料]],[1]材料清单!$D$2:$N$996,4,0),"")</f>
        <v/>
      </c>
      <c r="H54" s="60" t="str">
        <f>IFERROR(VLOOKUP(表1_3[[#This Row],[使用材料]],[1]材料清单!$D$2:$N$996,5,0),"")</f>
        <v/>
      </c>
      <c r="I54" s="49"/>
      <c r="J54" s="50" t="str">
        <f>IFERROR(Q54/H54,"")</f>
        <v/>
      </c>
      <c r="K54" s="51" t="str">
        <f>IFERROR(J54/M54,"")</f>
        <v/>
      </c>
      <c r="L54" s="52"/>
      <c r="M54" s="53" t="str">
        <f>IFERROR(G54/I54,"")</f>
        <v/>
      </c>
      <c r="N54" s="54"/>
      <c r="O54" s="55"/>
      <c r="P54" s="37"/>
      <c r="Q54" s="56" t="str">
        <f>IFERROR(P54*(N54/1000)/O54,"")</f>
        <v/>
      </c>
      <c r="R54" s="56" t="str">
        <f>IFERROR(Q54*I54/1000*1.05,"")</f>
        <v/>
      </c>
      <c r="S54" s="62"/>
      <c r="T54" s="61"/>
      <c r="U54" s="59" t="str">
        <f>IFERROR((VLOOKUP(F54,[1]材料清单!D51:K2045,6,0)),"")</f>
        <v/>
      </c>
    </row>
    <row r="55" customHeight="1" spans="2:21">
      <c r="B55" s="41"/>
      <c r="C55" s="42"/>
      <c r="D55" s="47"/>
      <c r="E55" s="47"/>
      <c r="F55" s="48"/>
      <c r="G55" s="60" t="str">
        <f>IFERROR(VLOOKUP(表1_3[[#This Row],[使用材料]],[1]材料清单!$D$2:$N$996,4,0),"")</f>
        <v/>
      </c>
      <c r="H55" s="60" t="str">
        <f>IFERROR(VLOOKUP(表1_3[[#This Row],[使用材料]],[1]材料清单!$D$2:$N$996,5,0),"")</f>
        <v/>
      </c>
      <c r="I55" s="49"/>
      <c r="J55" s="50" t="str">
        <f>IFERROR(Q55/H55,"")</f>
        <v/>
      </c>
      <c r="K55" s="51" t="str">
        <f>IFERROR(J55/M55,"")</f>
        <v/>
      </c>
      <c r="L55" s="52"/>
      <c r="M55" s="53" t="str">
        <f>IFERROR(G55/I55,"")</f>
        <v/>
      </c>
      <c r="N55" s="54"/>
      <c r="O55" s="55"/>
      <c r="P55" s="37"/>
      <c r="Q55" s="56" t="str">
        <f>IFERROR(P55*(N55/1000)/O55,"")</f>
        <v/>
      </c>
      <c r="R55" s="56" t="str">
        <f>IFERROR(Q55*I55/1000*1.05,"")</f>
        <v/>
      </c>
      <c r="S55" s="62"/>
      <c r="T55" s="61"/>
      <c r="U55" s="59" t="str">
        <f>IFERROR((VLOOKUP(F55,[1]材料清单!D52:K2046,6,0)),"")</f>
        <v/>
      </c>
    </row>
    <row r="56" customHeight="1" spans="2:21">
      <c r="B56" s="41"/>
      <c r="C56" s="42"/>
      <c r="D56" s="47"/>
      <c r="E56" s="47"/>
      <c r="F56" s="48"/>
      <c r="G56" s="60" t="str">
        <f>IFERROR(VLOOKUP(表1_3[[#This Row],[使用材料]],[1]材料清单!$D$2:$N$996,4,0),"")</f>
        <v/>
      </c>
      <c r="H56" s="60" t="str">
        <f>IFERROR(VLOOKUP(表1_3[[#This Row],[使用材料]],[1]材料清单!$D$2:$N$996,5,0),"")</f>
        <v/>
      </c>
      <c r="I56" s="49"/>
      <c r="J56" s="50" t="str">
        <f>IFERROR(Q56/H56,"")</f>
        <v/>
      </c>
      <c r="K56" s="51" t="str">
        <f>IFERROR(J56/M56,"")</f>
        <v/>
      </c>
      <c r="L56" s="52"/>
      <c r="M56" s="53" t="str">
        <f>IFERROR(G56/I56,"")</f>
        <v/>
      </c>
      <c r="N56" s="54"/>
      <c r="O56" s="55"/>
      <c r="P56" s="37"/>
      <c r="Q56" s="56" t="str">
        <f>IFERROR(P56*(N56/1000)/O56,"")</f>
        <v/>
      </c>
      <c r="R56" s="56" t="str">
        <f>IFERROR(Q56*I56/1000*1.05,"")</f>
        <v/>
      </c>
      <c r="S56" s="62"/>
      <c r="T56" s="61"/>
      <c r="U56" s="59" t="str">
        <f>IFERROR((VLOOKUP(F56,[1]材料清单!D53:K2047,6,0)),"")</f>
        <v/>
      </c>
    </row>
    <row r="57" customHeight="1" spans="2:21">
      <c r="B57" s="41"/>
      <c r="C57" s="42"/>
      <c r="D57" s="47"/>
      <c r="E57" s="47"/>
      <c r="F57" s="48"/>
      <c r="G57" s="60" t="str">
        <f>IFERROR(VLOOKUP(表1_3[[#This Row],[使用材料]],[1]材料清单!$D$2:$N$996,4,0),"")</f>
        <v/>
      </c>
      <c r="H57" s="60" t="str">
        <f>IFERROR(VLOOKUP(表1_3[[#This Row],[使用材料]],[1]材料清单!$D$2:$N$996,5,0),"")</f>
        <v/>
      </c>
      <c r="I57" s="49"/>
      <c r="J57" s="50" t="str">
        <f>IFERROR(Q57/H57,"")</f>
        <v/>
      </c>
      <c r="K57" s="51" t="str">
        <f>IFERROR(J57/M57,"")</f>
        <v/>
      </c>
      <c r="L57" s="52"/>
      <c r="M57" s="53" t="str">
        <f>IFERROR(G57/I57,"")</f>
        <v/>
      </c>
      <c r="N57" s="54"/>
      <c r="O57" s="55"/>
      <c r="P57" s="37"/>
      <c r="Q57" s="56" t="str">
        <f>IFERROR(P57*(N57/1000)/O57,"")</f>
        <v/>
      </c>
      <c r="R57" s="56" t="str">
        <f>IFERROR(Q57*I57/1000*1.05,"")</f>
        <v/>
      </c>
      <c r="S57" s="62"/>
      <c r="T57" s="61"/>
      <c r="U57" s="59" t="str">
        <f>IFERROR((VLOOKUP(F57,[1]材料清单!D54:K2048,6,0)),"")</f>
        <v/>
      </c>
    </row>
    <row r="58" customHeight="1" spans="2:21">
      <c r="B58" s="41"/>
      <c r="C58" s="42"/>
      <c r="D58" s="47"/>
      <c r="E58" s="47"/>
      <c r="F58" s="48"/>
      <c r="G58" s="60" t="str">
        <f>IFERROR(VLOOKUP(表1_3[[#This Row],[使用材料]],[1]材料清单!$D$2:$N$996,4,0),"")</f>
        <v/>
      </c>
      <c r="H58" s="60" t="str">
        <f>IFERROR(VLOOKUP(表1_3[[#This Row],[使用材料]],[1]材料清单!$D$2:$N$996,5,0),"")</f>
        <v/>
      </c>
      <c r="I58" s="49"/>
      <c r="J58" s="50" t="str">
        <f>IFERROR(Q58/H58,"")</f>
        <v/>
      </c>
      <c r="K58" s="51" t="str">
        <f>IFERROR(J58/M58,"")</f>
        <v/>
      </c>
      <c r="L58" s="52"/>
      <c r="M58" s="53" t="str">
        <f>IFERROR(G58/I58,"")</f>
        <v/>
      </c>
      <c r="N58" s="54"/>
      <c r="O58" s="55"/>
      <c r="P58" s="37"/>
      <c r="Q58" s="56" t="str">
        <f>IFERROR(P58*(N58/1000)/O58,"")</f>
        <v/>
      </c>
      <c r="R58" s="56" t="str">
        <f>IFERROR(Q58*I58/1000*1.05,"")</f>
        <v/>
      </c>
      <c r="S58" s="62"/>
      <c r="T58" s="61"/>
      <c r="U58" s="59" t="str">
        <f>IFERROR((VLOOKUP(F58,[1]材料清单!D55:K2049,6,0)),"")</f>
        <v/>
      </c>
    </row>
    <row r="59" customHeight="1" spans="2:21">
      <c r="B59" s="41"/>
      <c r="C59" s="42"/>
      <c r="D59" s="47"/>
      <c r="E59" s="47"/>
      <c r="F59" s="48"/>
      <c r="G59" s="60" t="str">
        <f>IFERROR(VLOOKUP(表1_3[[#This Row],[使用材料]],[1]材料清单!$D$2:$N$996,4,0),"")</f>
        <v/>
      </c>
      <c r="H59" s="60" t="str">
        <f>IFERROR(VLOOKUP(表1_3[[#This Row],[使用材料]],[1]材料清单!$D$2:$N$996,5,0),"")</f>
        <v/>
      </c>
      <c r="I59" s="49"/>
      <c r="J59" s="50" t="str">
        <f>IFERROR(Q59/H59,"")</f>
        <v/>
      </c>
      <c r="K59" s="51" t="str">
        <f>IFERROR(J59/M59,"")</f>
        <v/>
      </c>
      <c r="L59" s="52"/>
      <c r="M59" s="53" t="str">
        <f>IFERROR(G59/I59,"")</f>
        <v/>
      </c>
      <c r="N59" s="54"/>
      <c r="O59" s="55"/>
      <c r="P59" s="37"/>
      <c r="Q59" s="56" t="str">
        <f>IFERROR(P59*(N59/1000)/O59,"")</f>
        <v/>
      </c>
      <c r="R59" s="56" t="str">
        <f>IFERROR(Q59*I59/1000*1.05,"")</f>
        <v/>
      </c>
      <c r="S59" s="62"/>
      <c r="T59" s="61"/>
      <c r="U59" s="59" t="str">
        <f>IFERROR((VLOOKUP(F59,[1]材料清单!D56:K2050,6,0)),"")</f>
        <v/>
      </c>
    </row>
    <row r="60" customHeight="1" spans="2:21">
      <c r="B60" s="41"/>
      <c r="C60" s="42"/>
      <c r="D60" s="47"/>
      <c r="E60" s="47"/>
      <c r="F60" s="48"/>
      <c r="G60" s="60" t="str">
        <f>IFERROR(VLOOKUP(表1_3[[#This Row],[使用材料]],[1]材料清单!$D$2:$N$996,4,0),"")</f>
        <v/>
      </c>
      <c r="H60" s="60" t="str">
        <f>IFERROR(VLOOKUP(表1_3[[#This Row],[使用材料]],[1]材料清单!$D$2:$N$996,5,0),"")</f>
        <v/>
      </c>
      <c r="I60" s="49"/>
      <c r="J60" s="50" t="str">
        <f>IFERROR(Q60/H60,"")</f>
        <v/>
      </c>
      <c r="K60" s="51" t="str">
        <f>IFERROR(J60/M60,"")</f>
        <v/>
      </c>
      <c r="L60" s="52"/>
      <c r="M60" s="53" t="str">
        <f>IFERROR(G60/I60,"")</f>
        <v/>
      </c>
      <c r="N60" s="54"/>
      <c r="O60" s="55"/>
      <c r="P60" s="37"/>
      <c r="Q60" s="56" t="str">
        <f>IFERROR(P60*(N60/1000)/O60,"")</f>
        <v/>
      </c>
      <c r="R60" s="56" t="str">
        <f>IFERROR(Q60*I60/1000*1.05,"")</f>
        <v/>
      </c>
      <c r="S60" s="62"/>
      <c r="T60" s="61"/>
      <c r="U60" s="59" t="str">
        <f>IFERROR((VLOOKUP(F60,[1]材料清单!D57:K2051,6,0)),"")</f>
        <v/>
      </c>
    </row>
    <row r="61" customHeight="1" spans="2:21">
      <c r="B61" s="41"/>
      <c r="C61" s="42"/>
      <c r="D61" s="47"/>
      <c r="E61" s="47"/>
      <c r="F61" s="48"/>
      <c r="G61" s="60" t="str">
        <f>IFERROR(VLOOKUP(表1_3[[#This Row],[使用材料]],[1]材料清单!$D$2:$N$996,4,0),"")</f>
        <v/>
      </c>
      <c r="H61" s="60" t="str">
        <f>IFERROR(VLOOKUP(表1_3[[#This Row],[使用材料]],[1]材料清单!$D$2:$N$996,5,0),"")</f>
        <v/>
      </c>
      <c r="I61" s="49"/>
      <c r="J61" s="50" t="str">
        <f>IFERROR(Q61/H61,"")</f>
        <v/>
      </c>
      <c r="K61" s="51" t="str">
        <f>IFERROR(J61/M61,"")</f>
        <v/>
      </c>
      <c r="L61" s="52"/>
      <c r="M61" s="53" t="str">
        <f>IFERROR(G61/I61,"")</f>
        <v/>
      </c>
      <c r="N61" s="54"/>
      <c r="O61" s="55"/>
      <c r="P61" s="37"/>
      <c r="Q61" s="56" t="str">
        <f>IFERROR(P61*(N61/1000)/O61,"")</f>
        <v/>
      </c>
      <c r="R61" s="56" t="str">
        <f>IFERROR(Q61*I61/1000*1.05,"")</f>
        <v/>
      </c>
      <c r="S61" s="62"/>
      <c r="T61" s="61"/>
      <c r="U61" s="59" t="str">
        <f>IFERROR((VLOOKUP(F61,[1]材料清单!D58:K2052,6,0)),"")</f>
        <v/>
      </c>
    </row>
    <row r="62" customHeight="1" spans="2:21">
      <c r="B62" s="41"/>
      <c r="C62" s="42"/>
      <c r="D62" s="47"/>
      <c r="E62" s="47"/>
      <c r="F62" s="48"/>
      <c r="G62" s="60" t="str">
        <f>IFERROR(VLOOKUP(表1_3[[#This Row],[使用材料]],[1]材料清单!$D$2:$N$996,4,0),"")</f>
        <v/>
      </c>
      <c r="H62" s="60" t="str">
        <f>IFERROR(VLOOKUP(表1_3[[#This Row],[使用材料]],[1]材料清单!$D$2:$N$996,5,0),"")</f>
        <v/>
      </c>
      <c r="I62" s="49"/>
      <c r="J62" s="50" t="str">
        <f>IFERROR(Q62/H62,"")</f>
        <v/>
      </c>
      <c r="K62" s="51" t="str">
        <f>IFERROR(J62/M62,"")</f>
        <v/>
      </c>
      <c r="L62" s="52"/>
      <c r="M62" s="53" t="str">
        <f>IFERROR(G62/I62,"")</f>
        <v/>
      </c>
      <c r="N62" s="54"/>
      <c r="O62" s="55"/>
      <c r="P62" s="37"/>
      <c r="Q62" s="56" t="str">
        <f>IFERROR(P62*(N62/1000)/O62,"")</f>
        <v/>
      </c>
      <c r="R62" s="56" t="str">
        <f>IFERROR(Q62*I62/1000*1.05,"")</f>
        <v/>
      </c>
      <c r="S62" s="62"/>
      <c r="T62" s="61"/>
      <c r="U62" s="59" t="str">
        <f>IFERROR((VLOOKUP(F62,[1]材料清单!D59:K2053,6,0)),"")</f>
        <v/>
      </c>
    </row>
    <row r="63" customHeight="1" spans="2:21">
      <c r="B63" s="41"/>
      <c r="C63" s="42"/>
      <c r="D63" s="47"/>
      <c r="E63" s="47"/>
      <c r="F63" s="48"/>
      <c r="G63" s="60" t="str">
        <f>IFERROR(VLOOKUP(表1_3[[#This Row],[使用材料]],[1]材料清单!$D$2:$N$996,4,0),"")</f>
        <v/>
      </c>
      <c r="H63" s="60" t="str">
        <f>IFERROR(VLOOKUP(表1_3[[#This Row],[使用材料]],[1]材料清单!$D$2:$N$996,5,0),"")</f>
        <v/>
      </c>
      <c r="I63" s="49"/>
      <c r="J63" s="50" t="str">
        <f>IFERROR(Q63/H63,"")</f>
        <v/>
      </c>
      <c r="K63" s="51" t="str">
        <f>IFERROR(J63/M63,"")</f>
        <v/>
      </c>
      <c r="L63" s="52"/>
      <c r="M63" s="53" t="str">
        <f>IFERROR(G63/I63,"")</f>
        <v/>
      </c>
      <c r="N63" s="54"/>
      <c r="O63" s="55"/>
      <c r="P63" s="37"/>
      <c r="Q63" s="56" t="str">
        <f>IFERROR(P63*(N63/1000)/O63,"")</f>
        <v/>
      </c>
      <c r="R63" s="56" t="str">
        <f>IFERROR(Q63*I63/1000*1.05,"")</f>
        <v/>
      </c>
      <c r="S63" s="62"/>
      <c r="T63" s="61"/>
      <c r="U63" s="59" t="str">
        <f>IFERROR((VLOOKUP(F63,[1]材料清单!D60:K2054,6,0)),"")</f>
        <v/>
      </c>
    </row>
    <row r="64" customHeight="1" spans="2:21">
      <c r="B64" s="41"/>
      <c r="C64" s="42"/>
      <c r="D64" s="47"/>
      <c r="E64" s="47"/>
      <c r="F64" s="48"/>
      <c r="G64" s="60" t="str">
        <f>IFERROR(VLOOKUP(表1_3[[#This Row],[使用材料]],[1]材料清单!$D$2:$N$996,4,0),"")</f>
        <v/>
      </c>
      <c r="H64" s="60" t="str">
        <f>IFERROR(VLOOKUP(表1_3[[#This Row],[使用材料]],[1]材料清单!$D$2:$N$996,5,0),"")</f>
        <v/>
      </c>
      <c r="I64" s="49"/>
      <c r="J64" s="50" t="str">
        <f>IFERROR(Q64/H64,"")</f>
        <v/>
      </c>
      <c r="K64" s="51" t="str">
        <f>IFERROR(J64/M64,"")</f>
        <v/>
      </c>
      <c r="L64" s="52"/>
      <c r="M64" s="53" t="str">
        <f>IFERROR(G64/I64,"")</f>
        <v/>
      </c>
      <c r="N64" s="54"/>
      <c r="O64" s="55"/>
      <c r="P64" s="37"/>
      <c r="Q64" s="56" t="str">
        <f>IFERROR(P64*(N64/1000)/O64,"")</f>
        <v/>
      </c>
      <c r="R64" s="56" t="str">
        <f>IFERROR(Q64*I64/1000*1.05,"")</f>
        <v/>
      </c>
      <c r="S64" s="62"/>
      <c r="T64" s="61"/>
      <c r="U64" s="59" t="str">
        <f>IFERROR((VLOOKUP(F64,[1]材料清单!D61:K2055,6,0)),"")</f>
        <v/>
      </c>
    </row>
    <row r="65" customHeight="1" spans="2:21">
      <c r="B65" s="41"/>
      <c r="C65" s="42"/>
      <c r="D65" s="47"/>
      <c r="E65" s="47"/>
      <c r="F65" s="48"/>
      <c r="G65" s="60" t="str">
        <f>IFERROR(VLOOKUP(表1_3[[#This Row],[使用材料]],[1]材料清单!$D$2:$N$996,4,0),"")</f>
        <v/>
      </c>
      <c r="H65" s="60" t="str">
        <f>IFERROR(VLOOKUP(表1_3[[#This Row],[使用材料]],[1]材料清单!$D$2:$N$996,5,0),"")</f>
        <v/>
      </c>
      <c r="I65" s="49"/>
      <c r="J65" s="50" t="str">
        <f>IFERROR(Q65/H65,"")</f>
        <v/>
      </c>
      <c r="K65" s="51" t="str">
        <f>IFERROR(J65/M65,"")</f>
        <v/>
      </c>
      <c r="L65" s="52"/>
      <c r="M65" s="53" t="str">
        <f>IFERROR(G65/I65,"")</f>
        <v/>
      </c>
      <c r="N65" s="54"/>
      <c r="O65" s="55"/>
      <c r="P65" s="37"/>
      <c r="Q65" s="56" t="str">
        <f>IFERROR(P65*(N65/1000)/O65,"")</f>
        <v/>
      </c>
      <c r="R65" s="56" t="str">
        <f>IFERROR(Q65*I65/1000*1.05,"")</f>
        <v/>
      </c>
      <c r="S65" s="62"/>
      <c r="T65" s="61"/>
      <c r="U65" s="59" t="str">
        <f>IFERROR((VLOOKUP(F65,[1]材料清单!D62:K2056,6,0)),"")</f>
        <v/>
      </c>
    </row>
    <row r="66" customHeight="1" spans="2:21">
      <c r="B66" s="41"/>
      <c r="C66" s="42"/>
      <c r="D66" s="47"/>
      <c r="E66" s="47"/>
      <c r="F66" s="48"/>
      <c r="G66" s="60" t="str">
        <f>IFERROR(VLOOKUP(表1_3[[#This Row],[使用材料]],[1]材料清单!$D$2:$N$996,4,0),"")</f>
        <v/>
      </c>
      <c r="H66" s="60" t="str">
        <f>IFERROR(VLOOKUP(表1_3[[#This Row],[使用材料]],[1]材料清单!$D$2:$N$996,5,0),"")</f>
        <v/>
      </c>
      <c r="I66" s="49"/>
      <c r="J66" s="50" t="str">
        <f>IFERROR(Q66/H66,"")</f>
        <v/>
      </c>
      <c r="K66" s="51" t="str">
        <f>IFERROR(J66/M66,"")</f>
        <v/>
      </c>
      <c r="L66" s="52"/>
      <c r="M66" s="53" t="str">
        <f>IFERROR(G66/I66,"")</f>
        <v/>
      </c>
      <c r="N66" s="54"/>
      <c r="O66" s="55"/>
      <c r="P66" s="37"/>
      <c r="Q66" s="56" t="str">
        <f>IFERROR(P66*(N66/1000)/O66,"")</f>
        <v/>
      </c>
      <c r="R66" s="56" t="str">
        <f>IFERROR(Q66*I66/1000*1.05,"")</f>
        <v/>
      </c>
      <c r="S66" s="62"/>
      <c r="T66" s="61"/>
      <c r="U66" s="59" t="str">
        <f>IFERROR((VLOOKUP(F66,[1]材料清单!D63:K2057,6,0)),"")</f>
        <v/>
      </c>
    </row>
    <row r="67" customHeight="1" spans="2:21">
      <c r="B67" s="41"/>
      <c r="C67" s="42"/>
      <c r="D67" s="47"/>
      <c r="E67" s="47"/>
      <c r="F67" s="48"/>
      <c r="G67" s="60" t="str">
        <f>IFERROR(VLOOKUP(表1_3[[#This Row],[使用材料]],[1]材料清单!$D$2:$N$996,4,0),"")</f>
        <v/>
      </c>
      <c r="H67" s="60" t="str">
        <f>IFERROR(VLOOKUP(表1_3[[#This Row],[使用材料]],[1]材料清单!$D$2:$N$996,5,0),"")</f>
        <v/>
      </c>
      <c r="I67" s="49"/>
      <c r="J67" s="69" t="str">
        <f>IFERROR(Q67/H67,"")</f>
        <v/>
      </c>
      <c r="K67" s="51" t="str">
        <f>IFERROR(J67/M67,"")</f>
        <v/>
      </c>
      <c r="L67" s="52"/>
      <c r="M67" s="53" t="str">
        <f>IFERROR(G67/I67,"")</f>
        <v/>
      </c>
      <c r="N67" s="54"/>
      <c r="O67" s="55"/>
      <c r="P67" s="37"/>
      <c r="Q67" s="56" t="str">
        <f>IFERROR(P67*(N67/1000)/O67,"")</f>
        <v/>
      </c>
      <c r="R67" s="56" t="str">
        <f>IFERROR(Q67*I67/1000*1.05,"")</f>
        <v/>
      </c>
      <c r="S67" s="62"/>
      <c r="T67" s="61"/>
      <c r="U67" s="59" t="str">
        <f>IFERROR((VLOOKUP(F67,[1]材料清单!D64:K2058,6,0)),"")</f>
        <v/>
      </c>
    </row>
    <row r="68" customHeight="1" spans="2:21">
      <c r="B68" s="41"/>
      <c r="C68" s="42"/>
      <c r="D68" s="47"/>
      <c r="E68" s="47"/>
      <c r="F68" s="48"/>
      <c r="G68" s="60" t="str">
        <f>IFERROR(VLOOKUP(表1_3[[#This Row],[使用材料]],[1]材料清单!$D$2:$N$996,4,0),"")</f>
        <v/>
      </c>
      <c r="H68" s="60" t="str">
        <f>IFERROR(VLOOKUP(表1_3[[#This Row],[使用材料]],[1]材料清单!$D$2:$N$996,5,0),"")</f>
        <v/>
      </c>
      <c r="I68" s="49"/>
      <c r="J68" s="69" t="str">
        <f>IFERROR(Q68/H68,"")</f>
        <v/>
      </c>
      <c r="K68" s="51" t="str">
        <f>IFERROR(J68/M68,"")</f>
        <v/>
      </c>
      <c r="L68" s="52"/>
      <c r="M68" s="53" t="str">
        <f>IFERROR(G68/I68,"")</f>
        <v/>
      </c>
      <c r="N68" s="54"/>
      <c r="O68" s="55"/>
      <c r="P68" s="37"/>
      <c r="Q68" s="56" t="str">
        <f>IFERROR(P68*(N68/1000)/O68,"")</f>
        <v/>
      </c>
      <c r="R68" s="56" t="str">
        <f>IFERROR(Q68*I68/1000*1.05,"")</f>
        <v/>
      </c>
      <c r="S68" s="62"/>
      <c r="T68" s="61"/>
      <c r="U68" s="59" t="str">
        <f>IFERROR((VLOOKUP(F68,[1]材料清单!D65:K2059,6,0)),"")</f>
        <v/>
      </c>
    </row>
    <row r="69" customHeight="1" spans="2:21">
      <c r="B69" s="41"/>
      <c r="C69" s="42"/>
      <c r="D69" s="47"/>
      <c r="E69" s="47"/>
      <c r="F69" s="48"/>
      <c r="G69" s="60" t="str">
        <f>IFERROR(VLOOKUP(表1_3[[#This Row],[使用材料]],[1]材料清单!$D$2:$N$996,4,0),"")</f>
        <v/>
      </c>
      <c r="H69" s="60" t="str">
        <f>IFERROR(VLOOKUP(表1_3[[#This Row],[使用材料]],[1]材料清单!$D$2:$N$996,5,0),"")</f>
        <v/>
      </c>
      <c r="I69" s="49"/>
      <c r="J69" s="69" t="str">
        <f>IFERROR(Q69/H69,"")</f>
        <v/>
      </c>
      <c r="K69" s="51" t="str">
        <f>IFERROR(J69/M69,"")</f>
        <v/>
      </c>
      <c r="L69" s="52"/>
      <c r="M69" s="53" t="str">
        <f>IFERROR(G69/I69,"")</f>
        <v/>
      </c>
      <c r="N69" s="54"/>
      <c r="O69" s="55"/>
      <c r="P69" s="37"/>
      <c r="Q69" s="56" t="str">
        <f>IFERROR(P69*(N69/1000)/O69,"")</f>
        <v/>
      </c>
      <c r="R69" s="56" t="str">
        <f>IFERROR(Q69*I69/1000*1.05,"")</f>
        <v/>
      </c>
      <c r="S69" s="62"/>
      <c r="T69" s="61"/>
      <c r="U69" s="59" t="str">
        <f>IFERROR((VLOOKUP(F69,[1]材料清单!D66:K2060,6,0)),"")</f>
        <v/>
      </c>
    </row>
    <row r="70" customHeight="1" spans="2:21">
      <c r="B70" s="41"/>
      <c r="C70" s="42"/>
      <c r="D70" s="47"/>
      <c r="E70" s="47"/>
      <c r="F70" s="48"/>
      <c r="G70" s="60" t="str">
        <f>IFERROR(VLOOKUP(表1_3[[#This Row],[使用材料]],[1]材料清单!$D$2:$N$996,4,0),"")</f>
        <v/>
      </c>
      <c r="H70" s="60" t="str">
        <f>IFERROR(VLOOKUP(表1_3[[#This Row],[使用材料]],[1]材料清单!$D$2:$N$996,5,0),"")</f>
        <v/>
      </c>
      <c r="I70" s="49"/>
      <c r="J70" s="69" t="str">
        <f>IFERROR(Q70/H70,"")</f>
        <v/>
      </c>
      <c r="K70" s="51" t="str">
        <f>IFERROR(J70/M70,"")</f>
        <v/>
      </c>
      <c r="L70" s="52"/>
      <c r="M70" s="53" t="str">
        <f>IFERROR(G70/I70,"")</f>
        <v/>
      </c>
      <c r="N70" s="54"/>
      <c r="O70" s="55"/>
      <c r="P70" s="37"/>
      <c r="Q70" s="56" t="str">
        <f>IFERROR(P70*(N70/1000)/O70,"")</f>
        <v/>
      </c>
      <c r="R70" s="56" t="str">
        <f>IFERROR(Q70*I70/1000*1.05,"")</f>
        <v/>
      </c>
      <c r="S70" s="62"/>
      <c r="T70" s="61"/>
      <c r="U70" s="59" t="str">
        <f>IFERROR((VLOOKUP(F70,[1]材料清单!D67:K2061,6,0)),"")</f>
        <v/>
      </c>
    </row>
    <row r="71" customHeight="1" spans="2:21">
      <c r="B71" s="41"/>
      <c r="C71" s="42"/>
      <c r="D71" s="47"/>
      <c r="E71" s="47"/>
      <c r="F71" s="48"/>
      <c r="G71" s="60" t="str">
        <f>IFERROR(VLOOKUP(表1_3[[#This Row],[使用材料]],[1]材料清单!$D$2:$N$996,4,0),"")</f>
        <v/>
      </c>
      <c r="H71" s="60" t="str">
        <f>IFERROR(VLOOKUP(表1_3[[#This Row],[使用材料]],[1]材料清单!$D$2:$N$996,5,0),"")</f>
        <v/>
      </c>
      <c r="I71" s="49"/>
      <c r="J71" s="69" t="str">
        <f>IFERROR(Q71/H71,"")</f>
        <v/>
      </c>
      <c r="K71" s="51" t="str">
        <f>IFERROR(J71/M71,"")</f>
        <v/>
      </c>
      <c r="L71" s="52"/>
      <c r="M71" s="53" t="str">
        <f>IFERROR(G71/I71,"")</f>
        <v/>
      </c>
      <c r="N71" s="54"/>
      <c r="O71" s="55"/>
      <c r="P71" s="37"/>
      <c r="Q71" s="56" t="str">
        <f>IFERROR(P71*(N71/1000)/O71,"")</f>
        <v/>
      </c>
      <c r="R71" s="56" t="str">
        <f>IFERROR(Q71*I71/1000*1.05,"")</f>
        <v/>
      </c>
      <c r="S71" s="62"/>
      <c r="T71" s="61"/>
      <c r="U71" s="59" t="str">
        <f>IFERROR((VLOOKUP(F71,[1]材料清单!D68:K2062,6,0)),"")</f>
        <v/>
      </c>
    </row>
    <row r="72" customHeight="1" spans="2:21">
      <c r="B72" s="41"/>
      <c r="C72" s="42"/>
      <c r="D72" s="47"/>
      <c r="E72" s="47"/>
      <c r="F72" s="48"/>
      <c r="G72" s="60" t="str">
        <f>IFERROR(VLOOKUP(表1_3[[#This Row],[使用材料]],[1]材料清单!$D$2:$N$996,4,0),"")</f>
        <v/>
      </c>
      <c r="H72" s="60" t="str">
        <f>IFERROR(VLOOKUP(表1_3[[#This Row],[使用材料]],[1]材料清单!$D$2:$N$996,5,0),"")</f>
        <v/>
      </c>
      <c r="I72" s="49"/>
      <c r="J72" s="69" t="str">
        <f>IFERROR(Q72/H72,"")</f>
        <v/>
      </c>
      <c r="K72" s="51" t="str">
        <f>IFERROR(J72/M72,"")</f>
        <v/>
      </c>
      <c r="L72" s="52"/>
      <c r="M72" s="53" t="str">
        <f>IFERROR(G72/I72,"")</f>
        <v/>
      </c>
      <c r="N72" s="54"/>
      <c r="O72" s="55"/>
      <c r="P72" s="37"/>
      <c r="Q72" s="56" t="str">
        <f>IFERROR(P72*(N72/1000)/O72,"")</f>
        <v/>
      </c>
      <c r="R72" s="56" t="str">
        <f>IFERROR(Q72*I72/1000*1.05,"")</f>
        <v/>
      </c>
      <c r="S72" s="62"/>
      <c r="T72" s="61"/>
      <c r="U72" s="59" t="str">
        <f>IFERROR((VLOOKUP(F72,[1]材料清单!D69:K2063,6,0)),"")</f>
        <v/>
      </c>
    </row>
    <row r="73" customHeight="1" spans="2:21">
      <c r="B73" s="41"/>
      <c r="C73" s="42"/>
      <c r="D73" s="47"/>
      <c r="E73" s="47"/>
      <c r="F73" s="48"/>
      <c r="G73" s="60" t="str">
        <f>IFERROR(VLOOKUP(表1_3[[#This Row],[使用材料]],[1]材料清单!$D$2:$N$996,4,0),"")</f>
        <v/>
      </c>
      <c r="H73" s="60" t="str">
        <f>IFERROR(VLOOKUP(表1_3[[#This Row],[使用材料]],[1]材料清单!$D$2:$N$996,5,0),"")</f>
        <v/>
      </c>
      <c r="I73" s="49"/>
      <c r="J73" s="69" t="str">
        <f>IFERROR(Q73/H73,"")</f>
        <v/>
      </c>
      <c r="K73" s="51" t="str">
        <f>IFERROR(J73/M73,"")</f>
        <v/>
      </c>
      <c r="L73" s="52"/>
      <c r="M73" s="53" t="str">
        <f>IFERROR(G73/I73,"")</f>
        <v/>
      </c>
      <c r="N73" s="54"/>
      <c r="O73" s="55"/>
      <c r="P73" s="37"/>
      <c r="Q73" s="56" t="str">
        <f>IFERROR(P73*(N73/1000)/O73,"")</f>
        <v/>
      </c>
      <c r="R73" s="56" t="str">
        <f>IFERROR(Q73*I73/1000*1.05,"")</f>
        <v/>
      </c>
      <c r="S73" s="62"/>
      <c r="T73" s="61"/>
      <c r="U73" s="59" t="str">
        <f>IFERROR((VLOOKUP(F73,[1]材料清单!D70:K2064,6,0)),"")</f>
        <v/>
      </c>
    </row>
    <row r="74" customHeight="1" spans="2:21">
      <c r="B74" s="41"/>
      <c r="C74" s="42"/>
      <c r="D74" s="47"/>
      <c r="E74" s="47"/>
      <c r="F74" s="48"/>
      <c r="G74" s="60" t="str">
        <f>IFERROR(VLOOKUP(表1_3[[#This Row],[使用材料]],[1]材料清单!$D$2:$N$996,4,0),"")</f>
        <v/>
      </c>
      <c r="H74" s="60" t="str">
        <f>IFERROR(VLOOKUP(表1_3[[#This Row],[使用材料]],[1]材料清单!$D$2:$N$996,5,0),"")</f>
        <v/>
      </c>
      <c r="I74" s="49"/>
      <c r="J74" s="69" t="str">
        <f>IFERROR(Q74/H74,"")</f>
        <v/>
      </c>
      <c r="K74" s="51" t="str">
        <f>IFERROR(J74/M74,"")</f>
        <v/>
      </c>
      <c r="L74" s="52"/>
      <c r="M74" s="53" t="str">
        <f>IFERROR(G74/I74,"")</f>
        <v/>
      </c>
      <c r="N74" s="54"/>
      <c r="O74" s="55"/>
      <c r="P74" s="37"/>
      <c r="Q74" s="56" t="str">
        <f>IFERROR(P74*(N74/1000)/O74,"")</f>
        <v/>
      </c>
      <c r="R74" s="56" t="str">
        <f>IFERROR(Q74*I74/1000*1.05,"")</f>
        <v/>
      </c>
      <c r="S74" s="62"/>
      <c r="T74" s="61"/>
      <c r="U74" s="59" t="str">
        <f>IFERROR((VLOOKUP(F74,[1]材料清单!D71:K2065,6,0)),"")</f>
        <v/>
      </c>
    </row>
    <row r="75" customHeight="1" spans="2:21">
      <c r="B75" s="41"/>
      <c r="C75" s="42"/>
      <c r="D75" s="47"/>
      <c r="E75" s="47"/>
      <c r="F75" s="48"/>
      <c r="G75" s="60" t="str">
        <f>IFERROR(VLOOKUP(表1_3[[#This Row],[使用材料]],[1]材料清单!$D$2:$N$996,4,0),"")</f>
        <v/>
      </c>
      <c r="H75" s="60" t="str">
        <f>IFERROR(VLOOKUP(表1_3[[#This Row],[使用材料]],[1]材料清单!$D$2:$N$996,5,0),"")</f>
        <v/>
      </c>
      <c r="I75" s="49"/>
      <c r="J75" s="69" t="str">
        <f>IFERROR(Q75/H75,"")</f>
        <v/>
      </c>
      <c r="K75" s="51" t="str">
        <f>IFERROR(J75/M75,"")</f>
        <v/>
      </c>
      <c r="L75" s="52"/>
      <c r="M75" s="53" t="str">
        <f>IFERROR(G75/I75,"")</f>
        <v/>
      </c>
      <c r="N75" s="54"/>
      <c r="O75" s="55"/>
      <c r="P75" s="37"/>
      <c r="Q75" s="56"/>
      <c r="R75" s="56">
        <f>IFERROR(Q75*I75/1000*1.05,"")</f>
        <v>0</v>
      </c>
      <c r="S75" s="62"/>
      <c r="T75" s="61"/>
      <c r="U75" s="59" t="str">
        <f>IFERROR((VLOOKUP(F75,[1]材料清单!D72:K2066,6,0)),"")</f>
        <v/>
      </c>
    </row>
    <row r="76" customHeight="1" spans="2:21">
      <c r="B76" s="41"/>
      <c r="C76" s="42"/>
      <c r="D76" s="47"/>
      <c r="E76" s="47"/>
      <c r="F76" s="48"/>
      <c r="G76" s="60" t="str">
        <f>IFERROR(VLOOKUP(表1_3[[#This Row],[使用材料]],[1]材料清单!$D$2:$N$996,4,0),"")</f>
        <v/>
      </c>
      <c r="H76" s="60" t="str">
        <f>IFERROR(VLOOKUP(表1_3[[#This Row],[使用材料]],[1]材料清单!$D$2:$N$996,5,0),"")</f>
        <v/>
      </c>
      <c r="I76" s="49"/>
      <c r="J76" s="69" t="str">
        <f>IFERROR(Q76/H76,"")</f>
        <v/>
      </c>
      <c r="K76" s="51" t="str">
        <f>IFERROR(J76/M76,"")</f>
        <v/>
      </c>
      <c r="L76" s="52"/>
      <c r="M76" s="53" t="str">
        <f>IFERROR(G76/I76,"")</f>
        <v/>
      </c>
      <c r="N76" s="54"/>
      <c r="O76" s="55"/>
      <c r="P76" s="37"/>
      <c r="Q76" s="56"/>
      <c r="R76" s="56">
        <f>IFERROR(Q76*I76/1000*1.05,"")</f>
        <v>0</v>
      </c>
      <c r="S76" s="62"/>
      <c r="T76" s="61"/>
      <c r="U76" s="59" t="str">
        <f>IFERROR((VLOOKUP(F76,[1]材料清单!D73:K2067,6,0)),"")</f>
        <v/>
      </c>
    </row>
    <row r="77" customHeight="1" spans="2:21">
      <c r="B77" s="41"/>
      <c r="C77" s="42"/>
      <c r="D77" s="47"/>
      <c r="E77" s="47"/>
      <c r="F77" s="48"/>
      <c r="G77" s="60" t="str">
        <f>IFERROR(VLOOKUP(表1_3[[#This Row],[使用材料]],[1]材料清单!$D$2:$N$996,4,0),"")</f>
        <v/>
      </c>
      <c r="H77" s="60" t="str">
        <f>IFERROR(VLOOKUP(表1_3[[#This Row],[使用材料]],[1]材料清单!$D$2:$N$996,5,0),"")</f>
        <v/>
      </c>
      <c r="I77" s="49"/>
      <c r="J77" s="69" t="str">
        <f>IFERROR(Q77/H77,"")</f>
        <v/>
      </c>
      <c r="K77" s="51" t="str">
        <f>IFERROR(J77/M77,"")</f>
        <v/>
      </c>
      <c r="L77" s="52"/>
      <c r="M77" s="53" t="str">
        <f>IFERROR(G77/I77,"")</f>
        <v/>
      </c>
      <c r="N77" s="54"/>
      <c r="O77" s="55"/>
      <c r="P77" s="37"/>
      <c r="Q77" s="56"/>
      <c r="R77" s="56">
        <f>IFERROR(Q77*I77/1000*1.05,"")</f>
        <v>0</v>
      </c>
      <c r="S77" s="62"/>
      <c r="T77" s="61"/>
      <c r="U77" s="59" t="str">
        <f>IFERROR((VLOOKUP(F77,[1]材料清单!D74:K2068,6,0)),"")</f>
        <v/>
      </c>
    </row>
    <row r="78" customHeight="1" spans="2:21">
      <c r="B78" s="41"/>
      <c r="C78" s="42"/>
      <c r="D78" s="47"/>
      <c r="E78" s="47"/>
      <c r="F78" s="48"/>
      <c r="G78" s="60" t="str">
        <f>IFERROR(VLOOKUP(表1_3[[#This Row],[使用材料]],[1]材料清单!$D$2:$N$996,4,0),"")</f>
        <v/>
      </c>
      <c r="H78" s="60" t="str">
        <f>IFERROR(VLOOKUP(表1_3[[#This Row],[使用材料]],[1]材料清单!$D$2:$N$996,5,0),"")</f>
        <v/>
      </c>
      <c r="I78" s="49"/>
      <c r="J78" s="69" t="str">
        <f>IFERROR(Q78/H78,"")</f>
        <v/>
      </c>
      <c r="K78" s="51" t="str">
        <f>IFERROR(J78/M78,"")</f>
        <v/>
      </c>
      <c r="L78" s="52"/>
      <c r="M78" s="53" t="str">
        <f>IFERROR(G78/I78,"")</f>
        <v/>
      </c>
      <c r="N78" s="54"/>
      <c r="O78" s="55"/>
      <c r="P78" s="37"/>
      <c r="Q78" s="56"/>
      <c r="R78" s="56">
        <f>IFERROR(Q78*I78/1000*1.05,"")</f>
        <v>0</v>
      </c>
      <c r="S78" s="62"/>
      <c r="T78" s="61"/>
      <c r="U78" s="59" t="str">
        <f>IFERROR((VLOOKUP(F78,[1]材料清单!D75:K2069,6,0)),"")</f>
        <v/>
      </c>
    </row>
    <row r="79" customHeight="1" spans="2:21">
      <c r="B79" s="41"/>
      <c r="C79" s="42"/>
      <c r="D79" s="47"/>
      <c r="E79" s="47"/>
      <c r="F79" s="48"/>
      <c r="G79" s="60" t="str">
        <f>IFERROR(VLOOKUP(表1_3[[#This Row],[使用材料]],[1]材料清单!$D$2:$N$996,4,0),"")</f>
        <v/>
      </c>
      <c r="H79" s="60" t="str">
        <f>IFERROR(VLOOKUP(表1_3[[#This Row],[使用材料]],[1]材料清单!$D$2:$N$996,5,0),"")</f>
        <v/>
      </c>
      <c r="I79" s="49"/>
      <c r="J79" s="69" t="str">
        <f>IFERROR(Q79/H79,"")</f>
        <v/>
      </c>
      <c r="K79" s="51" t="str">
        <f>IFERROR(J79/M79,"")</f>
        <v/>
      </c>
      <c r="L79" s="52"/>
      <c r="M79" s="53" t="str">
        <f>IFERROR(G79/I79,"")</f>
        <v/>
      </c>
      <c r="N79" s="54"/>
      <c r="O79" s="55"/>
      <c r="P79" s="37"/>
      <c r="Q79" s="56"/>
      <c r="R79" s="56">
        <f>IFERROR(Q79*I79/1000*1.05,"")</f>
        <v>0</v>
      </c>
      <c r="S79" s="62"/>
      <c r="T79" s="61"/>
      <c r="U79" s="59" t="str">
        <f>IFERROR((VLOOKUP(F79,[1]材料清单!D76:K2070,6,0)),"")</f>
        <v/>
      </c>
    </row>
    <row r="80" customHeight="1" spans="2:21">
      <c r="B80" s="41"/>
      <c r="C80" s="42"/>
      <c r="D80" s="47"/>
      <c r="E80" s="47"/>
      <c r="F80" s="48"/>
      <c r="G80" s="60" t="str">
        <f>IFERROR(VLOOKUP(表1_3[[#This Row],[使用材料]],[1]材料清单!$D$2:$N$996,4,0),"")</f>
        <v/>
      </c>
      <c r="H80" s="60" t="str">
        <f>IFERROR(VLOOKUP(表1_3[[#This Row],[使用材料]],[1]材料清单!$D$2:$N$996,5,0),"")</f>
        <v/>
      </c>
      <c r="I80" s="49"/>
      <c r="J80" s="69" t="str">
        <f>IFERROR(Q80/H80,"")</f>
        <v/>
      </c>
      <c r="K80" s="51" t="str">
        <f>IFERROR(J80/M80,"")</f>
        <v/>
      </c>
      <c r="L80" s="52"/>
      <c r="M80" s="53" t="str">
        <f>IFERROR(G80/I80,"")</f>
        <v/>
      </c>
      <c r="N80" s="54"/>
      <c r="O80" s="55"/>
      <c r="P80" s="37"/>
      <c r="Q80" s="56"/>
      <c r="R80" s="56">
        <f>IFERROR(Q80*I80/1000*1.05,"")</f>
        <v>0</v>
      </c>
      <c r="S80" s="62"/>
      <c r="T80" s="61"/>
      <c r="U80" s="59" t="str">
        <f>IFERROR((VLOOKUP(F80,[1]材料清单!D77:K2071,6,0)),"")</f>
        <v/>
      </c>
    </row>
    <row r="81" customHeight="1" spans="2:21">
      <c r="B81" s="41"/>
      <c r="C81" s="42"/>
      <c r="D81" s="47"/>
      <c r="E81" s="47"/>
      <c r="F81" s="48"/>
      <c r="G81" s="60" t="str">
        <f>IFERROR(VLOOKUP(表1_3[[#This Row],[使用材料]],[1]材料清单!$D$2:$N$996,4,0),"")</f>
        <v/>
      </c>
      <c r="H81" s="60" t="str">
        <f>IFERROR(VLOOKUP(表1_3[[#This Row],[使用材料]],[1]材料清单!$D$2:$N$996,5,0),"")</f>
        <v/>
      </c>
      <c r="I81" s="49"/>
      <c r="J81" s="69" t="str">
        <f>IFERROR(Q81/H81,"")</f>
        <v/>
      </c>
      <c r="K81" s="51" t="str">
        <f>IFERROR(J81/M81,"")</f>
        <v/>
      </c>
      <c r="L81" s="52"/>
      <c r="M81" s="53" t="str">
        <f>IFERROR(G81/I81,"")</f>
        <v/>
      </c>
      <c r="N81" s="54"/>
      <c r="O81" s="55"/>
      <c r="P81" s="37"/>
      <c r="Q81" s="56"/>
      <c r="R81" s="56">
        <f>IFERROR(Q81*I81/1000*1.05,"")</f>
        <v>0</v>
      </c>
      <c r="S81" s="62"/>
      <c r="T81" s="61"/>
      <c r="U81" s="59" t="str">
        <f>IFERROR((VLOOKUP(F81,[1]材料清单!D78:K2072,6,0)),"")</f>
        <v/>
      </c>
    </row>
    <row r="82" customHeight="1" spans="2:21">
      <c r="B82" s="41"/>
      <c r="C82" s="42"/>
      <c r="D82" s="47"/>
      <c r="E82" s="47"/>
      <c r="F82" s="48"/>
      <c r="G82" s="60" t="str">
        <f>IFERROR(VLOOKUP(表1_3[[#This Row],[使用材料]],[1]材料清单!$D$2:$N$996,4,0),"")</f>
        <v/>
      </c>
      <c r="H82" s="60" t="str">
        <f>IFERROR(VLOOKUP(表1_3[[#This Row],[使用材料]],[1]材料清单!$D$2:$N$996,5,0),"")</f>
        <v/>
      </c>
      <c r="I82" s="49"/>
      <c r="J82" s="69" t="str">
        <f>IFERROR(Q82/H82,"")</f>
        <v/>
      </c>
      <c r="K82" s="51" t="str">
        <f>IFERROR(J82/M82,"")</f>
        <v/>
      </c>
      <c r="L82" s="52"/>
      <c r="M82" s="53" t="str">
        <f>IFERROR(G82/I82,"")</f>
        <v/>
      </c>
      <c r="N82" s="54"/>
      <c r="O82" s="55"/>
      <c r="P82" s="37"/>
      <c r="Q82" s="56"/>
      <c r="R82" s="56">
        <f>IFERROR(Q82*I82/1000*1.05,"")</f>
        <v>0</v>
      </c>
      <c r="S82" s="62"/>
      <c r="T82" s="61"/>
      <c r="U82" s="59" t="str">
        <f>IFERROR((VLOOKUP(F82,[1]材料清单!D79:K2073,6,0)),"")</f>
        <v/>
      </c>
    </row>
    <row r="83" customHeight="1" spans="2:21">
      <c r="B83" s="41"/>
      <c r="C83" s="42"/>
      <c r="D83" s="47"/>
      <c r="E83" s="47"/>
      <c r="F83" s="48"/>
      <c r="G83" s="60" t="str">
        <f>IFERROR(VLOOKUP(表1_3[[#This Row],[使用材料]],[1]材料清单!$D$2:$N$996,4,0),"")</f>
        <v/>
      </c>
      <c r="H83" s="60" t="str">
        <f>IFERROR(VLOOKUP(表1_3[[#This Row],[使用材料]],[1]材料清单!$D$2:$N$996,5,0),"")</f>
        <v/>
      </c>
      <c r="I83" s="49"/>
      <c r="J83" s="69" t="str">
        <f>IFERROR(Q83/H83,"")</f>
        <v/>
      </c>
      <c r="K83" s="51" t="str">
        <f>IFERROR(J83/M83,"")</f>
        <v/>
      </c>
      <c r="L83" s="52"/>
      <c r="M83" s="53" t="str">
        <f>IFERROR(G83/I83,"")</f>
        <v/>
      </c>
      <c r="N83" s="54"/>
      <c r="O83" s="55"/>
      <c r="P83" s="37"/>
      <c r="Q83" s="56"/>
      <c r="R83" s="56">
        <f>IFERROR(Q83*I83/1000*1.05,"")</f>
        <v>0</v>
      </c>
      <c r="S83" s="62"/>
      <c r="T83" s="61"/>
      <c r="U83" s="59" t="str">
        <f>IFERROR((VLOOKUP(F83,[1]材料清单!D80:K2074,6,0)),"")</f>
        <v/>
      </c>
    </row>
    <row r="84" customHeight="1" spans="2:21">
      <c r="B84" s="41"/>
      <c r="C84" s="42"/>
      <c r="D84" s="47"/>
      <c r="E84" s="47"/>
      <c r="F84" s="48"/>
      <c r="G84" s="60" t="str">
        <f>IFERROR(VLOOKUP(表1_3[[#This Row],[使用材料]],[1]材料清单!$D$2:$N$996,4,0),"")</f>
        <v/>
      </c>
      <c r="H84" s="60" t="str">
        <f>IFERROR(VLOOKUP(表1_3[[#This Row],[使用材料]],[1]材料清单!$D$2:$N$996,5,0),"")</f>
        <v/>
      </c>
      <c r="I84" s="49"/>
      <c r="J84" s="69" t="str">
        <f>IFERROR(Q84/H84,"")</f>
        <v/>
      </c>
      <c r="K84" s="51" t="str">
        <f>IFERROR(J84/M84,"")</f>
        <v/>
      </c>
      <c r="L84" s="52"/>
      <c r="M84" s="53" t="str">
        <f>IFERROR(G84/I84,"")</f>
        <v/>
      </c>
      <c r="N84" s="54"/>
      <c r="O84" s="55"/>
      <c r="P84" s="37"/>
      <c r="Q84" s="56"/>
      <c r="R84" s="56">
        <f>IFERROR(Q84*I84/1000*1.05,"")</f>
        <v>0</v>
      </c>
      <c r="S84" s="62"/>
      <c r="T84" s="61"/>
      <c r="U84" s="59" t="str">
        <f>IFERROR((VLOOKUP(F84,[1]材料清单!D81:K2075,6,0)),"")</f>
        <v/>
      </c>
    </row>
    <row r="85" customHeight="1" spans="2:21">
      <c r="B85" s="41"/>
      <c r="C85" s="42"/>
      <c r="D85" s="47"/>
      <c r="E85" s="47"/>
      <c r="F85" s="48"/>
      <c r="G85" s="60" t="str">
        <f>IFERROR(VLOOKUP(表1_3[[#This Row],[使用材料]],[1]材料清单!$D$2:$N$996,4,0),"")</f>
        <v/>
      </c>
      <c r="H85" s="60" t="str">
        <f>IFERROR(VLOOKUP(表1_3[[#This Row],[使用材料]],[1]材料清单!$D$2:$N$996,5,0),"")</f>
        <v/>
      </c>
      <c r="I85" s="49"/>
      <c r="J85" s="69" t="str">
        <f>IFERROR(Q85/H85,"")</f>
        <v/>
      </c>
      <c r="K85" s="51" t="str">
        <f>IFERROR(J85/M85,"")</f>
        <v/>
      </c>
      <c r="L85" s="52"/>
      <c r="M85" s="53" t="str">
        <f>IFERROR(G85/I85,"")</f>
        <v/>
      </c>
      <c r="N85" s="54"/>
      <c r="O85" s="55"/>
      <c r="P85" s="37"/>
      <c r="Q85" s="56"/>
      <c r="R85" s="56">
        <f>IFERROR(Q85*I85/1000*1.05,"")</f>
        <v>0</v>
      </c>
      <c r="S85" s="62"/>
      <c r="T85" s="61"/>
      <c r="U85" s="59" t="str">
        <f>IFERROR((VLOOKUP(F85,[1]材料清单!D82:K2076,6,0)),"")</f>
        <v/>
      </c>
    </row>
    <row r="86" customHeight="1" spans="2:21">
      <c r="B86" s="41"/>
      <c r="C86" s="42"/>
      <c r="D86" s="47"/>
      <c r="E86" s="47"/>
      <c r="F86" s="48"/>
      <c r="G86" s="60" t="str">
        <f>IFERROR(VLOOKUP(表1_3[[#This Row],[使用材料]],[1]材料清单!$D$2:$N$996,4,0),"")</f>
        <v/>
      </c>
      <c r="H86" s="60" t="str">
        <f>IFERROR(VLOOKUP(表1_3[[#This Row],[使用材料]],[1]材料清单!$D$2:$N$996,5,0),"")</f>
        <v/>
      </c>
      <c r="I86" s="49"/>
      <c r="J86" s="69" t="str">
        <f>IFERROR(Q86/H86,"")</f>
        <v/>
      </c>
      <c r="K86" s="51" t="str">
        <f>IFERROR(J86/M86,"")</f>
        <v/>
      </c>
      <c r="L86" s="52"/>
      <c r="M86" s="53" t="str">
        <f>IFERROR(G86/I86,"")</f>
        <v/>
      </c>
      <c r="N86" s="54"/>
      <c r="O86" s="55"/>
      <c r="P86" s="37"/>
      <c r="Q86" s="56"/>
      <c r="R86" s="56">
        <f>IFERROR(Q86*I86/1000*1.05,"")</f>
        <v>0</v>
      </c>
      <c r="S86" s="62"/>
      <c r="T86" s="61"/>
      <c r="U86" s="59" t="str">
        <f>IFERROR((VLOOKUP(F86,[1]材料清单!D83:K2077,6,0)),"")</f>
        <v/>
      </c>
    </row>
    <row r="87" customHeight="1" spans="2:21">
      <c r="B87" s="41"/>
      <c r="C87" s="42"/>
      <c r="D87" s="47"/>
      <c r="E87" s="47"/>
      <c r="F87" s="48"/>
      <c r="G87" s="60" t="str">
        <f>IFERROR(VLOOKUP(表1_3[[#This Row],[使用材料]],[1]材料清单!$D$2:$N$996,4,0),"")</f>
        <v/>
      </c>
      <c r="H87" s="60" t="str">
        <f>IFERROR(VLOOKUP(表1_3[[#This Row],[使用材料]],[1]材料清单!$D$2:$N$996,5,0),"")</f>
        <v/>
      </c>
      <c r="I87" s="49"/>
      <c r="J87" s="69" t="str">
        <f>IFERROR(Q87/H87,"")</f>
        <v/>
      </c>
      <c r="K87" s="51" t="str">
        <f>IFERROR(J87/M87,"")</f>
        <v/>
      </c>
      <c r="L87" s="52"/>
      <c r="M87" s="53" t="str">
        <f>IFERROR(G87/I87,"")</f>
        <v/>
      </c>
      <c r="N87" s="54"/>
      <c r="O87" s="55"/>
      <c r="P87" s="37"/>
      <c r="Q87" s="56"/>
      <c r="R87" s="56">
        <f>IFERROR(Q87*I87/1000*1.05,"")</f>
        <v>0</v>
      </c>
      <c r="S87" s="62"/>
      <c r="T87" s="61"/>
      <c r="U87" s="48"/>
    </row>
    <row r="88" customHeight="1" spans="2:21">
      <c r="B88" s="41"/>
      <c r="C88" s="42"/>
      <c r="D88" s="47"/>
      <c r="E88" s="47"/>
      <c r="F88" s="48"/>
      <c r="G88" s="60" t="str">
        <f>IFERROR(VLOOKUP(表1_3[[#This Row],[使用材料]],[1]材料清单!$D$2:$N$996,4,0),"")</f>
        <v/>
      </c>
      <c r="H88" s="60" t="str">
        <f>IFERROR(VLOOKUP(表1_3[[#This Row],[使用材料]],[1]材料清单!$D$2:$N$996,5,0),"")</f>
        <v/>
      </c>
      <c r="I88" s="49"/>
      <c r="J88" s="69" t="str">
        <f>IFERROR(Q88/H88,"")</f>
        <v/>
      </c>
      <c r="K88" s="51" t="str">
        <f>IFERROR(J88/M88,"")</f>
        <v/>
      </c>
      <c r="L88" s="52"/>
      <c r="M88" s="53" t="str">
        <f>IFERROR(G88/I88,"")</f>
        <v/>
      </c>
      <c r="N88" s="54"/>
      <c r="O88" s="55"/>
      <c r="P88" s="37"/>
      <c r="Q88" s="56"/>
      <c r="R88" s="56">
        <f>IFERROR(Q88*I88/1000*1.05,"")</f>
        <v>0</v>
      </c>
      <c r="S88" s="62"/>
      <c r="T88" s="61"/>
      <c r="U88" s="48"/>
    </row>
    <row r="89" customHeight="1" spans="2:21">
      <c r="B89" s="41"/>
      <c r="C89" s="42"/>
      <c r="D89" s="47"/>
      <c r="E89" s="47"/>
      <c r="F89" s="48"/>
      <c r="G89" s="60" t="str">
        <f>IFERROR(VLOOKUP(表1_3[[#This Row],[使用材料]],[1]材料清单!$D$2:$N$996,4,0),"")</f>
        <v/>
      </c>
      <c r="H89" s="60" t="str">
        <f>IFERROR(VLOOKUP(表1_3[[#This Row],[使用材料]],[1]材料清单!$D$2:$N$996,5,0),"")</f>
        <v/>
      </c>
      <c r="I89" s="49"/>
      <c r="J89" s="69" t="str">
        <f>IFERROR(Q89/H89,"")</f>
        <v/>
      </c>
      <c r="K89" s="51" t="str">
        <f>IFERROR(J89/M89,"")</f>
        <v/>
      </c>
      <c r="L89" s="52"/>
      <c r="M89" s="53" t="str">
        <f>IFERROR(G89/I89,"")</f>
        <v/>
      </c>
      <c r="N89" s="54"/>
      <c r="O89" s="55"/>
      <c r="P89" s="37"/>
      <c r="Q89" s="56"/>
      <c r="R89" s="56">
        <f>IFERROR(Q89*I89/1000*1.05,"")</f>
        <v>0</v>
      </c>
      <c r="S89" s="62"/>
      <c r="T89" s="61"/>
      <c r="U89" s="48"/>
    </row>
    <row r="90" customHeight="1" spans="2:21">
      <c r="B90" s="41"/>
      <c r="C90" s="42"/>
      <c r="D90" s="47"/>
      <c r="E90" s="47"/>
      <c r="F90" s="48"/>
      <c r="G90" s="60" t="str">
        <f>IFERROR(VLOOKUP(表1_3[[#This Row],[使用材料]],[1]材料清单!$D$2:$N$996,4,0),"")</f>
        <v/>
      </c>
      <c r="H90" s="60" t="str">
        <f>IFERROR(VLOOKUP(表1_3[[#This Row],[使用材料]],[1]材料清单!$D$2:$N$996,5,0),"")</f>
        <v/>
      </c>
      <c r="I90" s="49"/>
      <c r="J90" s="69" t="str">
        <f>IFERROR(Q90/H90,"")</f>
        <v/>
      </c>
      <c r="K90" s="51" t="str">
        <f>IFERROR(J90/M90,"")</f>
        <v/>
      </c>
      <c r="L90" s="52"/>
      <c r="M90" s="53" t="str">
        <f>IFERROR(G90/I90,"")</f>
        <v/>
      </c>
      <c r="N90" s="54"/>
      <c r="O90" s="55"/>
      <c r="P90" s="37"/>
      <c r="Q90" s="56"/>
      <c r="R90" s="56">
        <f>IFERROR(Q90*I90/1000*1.05,"")</f>
        <v>0</v>
      </c>
      <c r="S90" s="62"/>
      <c r="T90" s="61"/>
      <c r="U90" s="48"/>
    </row>
    <row r="91" customHeight="1" spans="2:21">
      <c r="B91" s="41"/>
      <c r="C91" s="42"/>
      <c r="D91" s="47"/>
      <c r="E91" s="47"/>
      <c r="F91" s="48"/>
      <c r="G91" s="60" t="str">
        <f>IFERROR(VLOOKUP(表1_3[[#This Row],[使用材料]],[1]材料清单!$D$2:$N$996,4,0),"")</f>
        <v/>
      </c>
      <c r="H91" s="60" t="str">
        <f>IFERROR(VLOOKUP(表1_3[[#This Row],[使用材料]],[1]材料清单!$D$2:$N$996,5,0),"")</f>
        <v/>
      </c>
      <c r="I91" s="49"/>
      <c r="J91" s="69" t="str">
        <f>IFERROR(Q91/H91,"")</f>
        <v/>
      </c>
      <c r="K91" s="51" t="str">
        <f>IFERROR(J91/M91,"")</f>
        <v/>
      </c>
      <c r="L91" s="52"/>
      <c r="M91" s="53" t="str">
        <f>IFERROR(G91/I91,"")</f>
        <v/>
      </c>
      <c r="N91" s="54"/>
      <c r="O91" s="55"/>
      <c r="P91" s="37"/>
      <c r="Q91" s="56"/>
      <c r="R91" s="56">
        <f>IFERROR(Q91*I91/1000*1.05,"")</f>
        <v>0</v>
      </c>
      <c r="S91" s="62"/>
      <c r="T91" s="61"/>
      <c r="U91" s="48"/>
    </row>
    <row r="92" customHeight="1" spans="2:21">
      <c r="B92" s="41"/>
      <c r="C92" s="42"/>
      <c r="D92" s="47"/>
      <c r="E92" s="47"/>
      <c r="F92" s="48"/>
      <c r="G92" s="60" t="str">
        <f>IFERROR(VLOOKUP(表1_3[[#This Row],[使用材料]],[1]材料清单!$D$2:$N$996,4,0),"")</f>
        <v/>
      </c>
      <c r="H92" s="60" t="str">
        <f>IFERROR(VLOOKUP(表1_3[[#This Row],[使用材料]],[1]材料清单!$D$2:$N$996,5,0),"")</f>
        <v/>
      </c>
      <c r="I92" s="49"/>
      <c r="J92" s="69" t="str">
        <f>IFERROR(Q92/H92,"")</f>
        <v/>
      </c>
      <c r="K92" s="51" t="str">
        <f>IFERROR(J92/M92,"")</f>
        <v/>
      </c>
      <c r="L92" s="52"/>
      <c r="M92" s="53" t="str">
        <f>IFERROR(G92/I92,"")</f>
        <v/>
      </c>
      <c r="N92" s="54"/>
      <c r="O92" s="55"/>
      <c r="P92" s="37"/>
      <c r="Q92" s="56"/>
      <c r="R92" s="56">
        <f>IFERROR(Q92*I92/1000*1.05,"")</f>
        <v>0</v>
      </c>
      <c r="S92" s="62"/>
      <c r="T92" s="61"/>
      <c r="U92" s="48"/>
    </row>
    <row r="93" customHeight="1" spans="2:21">
      <c r="B93" s="41"/>
      <c r="C93" s="42"/>
      <c r="D93" s="47"/>
      <c r="E93" s="47"/>
      <c r="F93" s="48"/>
      <c r="G93" s="60" t="str">
        <f>IFERROR(VLOOKUP(表1_3[[#This Row],[使用材料]],[1]材料清单!$D$2:$N$996,4,0),"")</f>
        <v/>
      </c>
      <c r="H93" s="60" t="str">
        <f>IFERROR(VLOOKUP(表1_3[[#This Row],[使用材料]],[1]材料清单!$D$2:$N$996,5,0),"")</f>
        <v/>
      </c>
      <c r="I93" s="49"/>
      <c r="J93" s="69" t="str">
        <f>IFERROR(Q93/H93,"")</f>
        <v/>
      </c>
      <c r="K93" s="51" t="str">
        <f>IFERROR(J93/M93,"")</f>
        <v/>
      </c>
      <c r="L93" s="52"/>
      <c r="M93" s="53" t="str">
        <f>IFERROR(G93/I93,"")</f>
        <v/>
      </c>
      <c r="N93" s="54"/>
      <c r="O93" s="55"/>
      <c r="P93" s="37"/>
      <c r="Q93" s="56"/>
      <c r="R93" s="56">
        <f>IFERROR(Q93*I93/1000*1.05,"")</f>
        <v>0</v>
      </c>
      <c r="S93" s="62"/>
      <c r="T93" s="61"/>
      <c r="U93" s="48"/>
    </row>
    <row r="94" customHeight="1" spans="2:21">
      <c r="B94" s="41"/>
      <c r="C94" s="42"/>
      <c r="D94" s="47"/>
      <c r="E94" s="47"/>
      <c r="F94" s="48"/>
      <c r="G94" s="60" t="str">
        <f>IFERROR(VLOOKUP(表1_3[[#This Row],[使用材料]],[1]材料清单!$D$2:$N$996,4,0),"")</f>
        <v/>
      </c>
      <c r="H94" s="60" t="str">
        <f>IFERROR(VLOOKUP(表1_3[[#This Row],[使用材料]],[1]材料清单!$D$2:$N$996,5,0),"")</f>
        <v/>
      </c>
      <c r="I94" s="49"/>
      <c r="J94" s="69" t="str">
        <f>IFERROR(Q94/H94,"")</f>
        <v/>
      </c>
      <c r="K94" s="51" t="str">
        <f>IFERROR(J94/M94,"")</f>
        <v/>
      </c>
      <c r="L94" s="52"/>
      <c r="M94" s="53" t="str">
        <f>IFERROR(G94/I94,"")</f>
        <v/>
      </c>
      <c r="N94" s="54"/>
      <c r="O94" s="55"/>
      <c r="P94" s="37"/>
      <c r="Q94" s="56"/>
      <c r="R94" s="56">
        <f>IFERROR(Q94*I94/1000*1.05,"")</f>
        <v>0</v>
      </c>
      <c r="S94" s="62"/>
      <c r="T94" s="61"/>
      <c r="U94" s="48"/>
    </row>
    <row r="95" customHeight="1" spans="2:21">
      <c r="B95" s="41"/>
      <c r="C95" s="42"/>
      <c r="D95" s="47"/>
      <c r="E95" s="47"/>
      <c r="F95" s="48"/>
      <c r="G95" s="60" t="str">
        <f>IFERROR(VLOOKUP(表1_3[[#This Row],[使用材料]],[1]材料清单!$D$2:$N$996,4,0),"")</f>
        <v/>
      </c>
      <c r="H95" s="60" t="str">
        <f>IFERROR(VLOOKUP(表1_3[[#This Row],[使用材料]],[1]材料清单!$D$2:$N$996,5,0),"")</f>
        <v/>
      </c>
      <c r="I95" s="49"/>
      <c r="J95" s="69" t="str">
        <f>IFERROR(Q95/H95,"")</f>
        <v/>
      </c>
      <c r="K95" s="51" t="str">
        <f>IFERROR(J95/M95,"")</f>
        <v/>
      </c>
      <c r="L95" s="52"/>
      <c r="M95" s="53" t="str">
        <f>IFERROR(G95/I95,"")</f>
        <v/>
      </c>
      <c r="N95" s="54"/>
      <c r="O95" s="55"/>
      <c r="P95" s="37"/>
      <c r="Q95" s="56"/>
      <c r="R95" s="56">
        <f>IFERROR(Q95*I95/1000*1.05,"")</f>
        <v>0</v>
      </c>
      <c r="S95" s="62"/>
      <c r="T95" s="61"/>
      <c r="U95" s="48"/>
    </row>
    <row r="96" customHeight="1" spans="2:21">
      <c r="B96" s="41"/>
      <c r="C96" s="42"/>
      <c r="D96" s="47"/>
      <c r="E96" s="47"/>
      <c r="F96" s="48"/>
      <c r="G96" s="60" t="str">
        <f>IFERROR(VLOOKUP(表1_3[[#This Row],[使用材料]],[1]材料清单!$D$2:$N$996,4,0),"")</f>
        <v/>
      </c>
      <c r="H96" s="60" t="str">
        <f>IFERROR(VLOOKUP(表1_3[[#This Row],[使用材料]],[1]材料清单!$D$2:$N$996,5,0),"")</f>
        <v/>
      </c>
      <c r="I96" s="49"/>
      <c r="J96" s="69" t="str">
        <f>IFERROR(Q96/H96,"")</f>
        <v/>
      </c>
      <c r="K96" s="51" t="str">
        <f>IFERROR(J96/M96,"")</f>
        <v/>
      </c>
      <c r="L96" s="52"/>
      <c r="M96" s="53" t="str">
        <f>IFERROR(G96/I96,"")</f>
        <v/>
      </c>
      <c r="N96" s="54"/>
      <c r="O96" s="55"/>
      <c r="P96" s="37"/>
      <c r="Q96" s="56"/>
      <c r="R96" s="56">
        <f>IFERROR(Q96*I96/1000*1.05,"")</f>
        <v>0</v>
      </c>
      <c r="S96" s="62"/>
      <c r="T96" s="61"/>
      <c r="U96" s="48"/>
    </row>
    <row r="97" customHeight="1" spans="2:21">
      <c r="B97" s="41"/>
      <c r="C97" s="42"/>
      <c r="D97" s="47"/>
      <c r="E97" s="47"/>
      <c r="F97" s="48"/>
      <c r="G97" s="60" t="str">
        <f>IFERROR(VLOOKUP(表1_3[[#This Row],[使用材料]],[1]材料清单!$D$2:$N$996,4,0),"")</f>
        <v/>
      </c>
      <c r="H97" s="60" t="str">
        <f>IFERROR(VLOOKUP(表1_3[[#This Row],[使用材料]],[1]材料清单!$D$2:$N$996,5,0),"")</f>
        <v/>
      </c>
      <c r="I97" s="49"/>
      <c r="J97" s="69" t="str">
        <f>IFERROR(Q97/H97,"")</f>
        <v/>
      </c>
      <c r="K97" s="51" t="str">
        <f>IFERROR(J97/M97,"")</f>
        <v/>
      </c>
      <c r="L97" s="52"/>
      <c r="M97" s="53" t="str">
        <f>IFERROR(G97/I97,"")</f>
        <v/>
      </c>
      <c r="N97" s="54"/>
      <c r="O97" s="55"/>
      <c r="P97" s="37"/>
      <c r="Q97" s="56"/>
      <c r="R97" s="56">
        <f>IFERROR(Q97*I97/1000*1.05,"")</f>
        <v>0</v>
      </c>
      <c r="S97" s="62"/>
      <c r="T97" s="61"/>
      <c r="U97" s="48"/>
    </row>
    <row r="98" customHeight="1" spans="2:21">
      <c r="B98" s="41"/>
      <c r="C98" s="42"/>
      <c r="D98" s="47"/>
      <c r="E98" s="47"/>
      <c r="F98" s="48"/>
      <c r="G98" s="60" t="str">
        <f>IFERROR(VLOOKUP(表1_3[[#This Row],[使用材料]],[1]材料清单!$D$2:$N$996,4,0),"")</f>
        <v/>
      </c>
      <c r="H98" s="60" t="str">
        <f>IFERROR(VLOOKUP(表1_3[[#This Row],[使用材料]],[1]材料清单!$D$2:$N$996,5,0),"")</f>
        <v/>
      </c>
      <c r="I98" s="49"/>
      <c r="J98" s="69" t="str">
        <f>IFERROR(Q98/H98,"")</f>
        <v/>
      </c>
      <c r="K98" s="51" t="str">
        <f>IFERROR(J98/M98,"")</f>
        <v/>
      </c>
      <c r="L98" s="52"/>
      <c r="M98" s="53" t="str">
        <f>IFERROR(G98/I98,"")</f>
        <v/>
      </c>
      <c r="N98" s="54"/>
      <c r="O98" s="55"/>
      <c r="P98" s="37"/>
      <c r="Q98" s="56"/>
      <c r="R98" s="56">
        <f>IFERROR(Q98*I98/1000*1.05,"")</f>
        <v>0</v>
      </c>
      <c r="S98" s="62"/>
      <c r="T98" s="61"/>
      <c r="U98" s="48"/>
    </row>
    <row r="99" customHeight="1" spans="2:21">
      <c r="B99" s="41"/>
      <c r="C99" s="42"/>
      <c r="D99" s="47"/>
      <c r="E99" s="47"/>
      <c r="F99" s="48"/>
      <c r="G99" s="60" t="str">
        <f>IFERROR(VLOOKUP(表1_3[[#This Row],[使用材料]],[1]材料清单!$D$2:$N$996,4,0),"")</f>
        <v/>
      </c>
      <c r="H99" s="60" t="str">
        <f>IFERROR(VLOOKUP(表1_3[[#This Row],[使用材料]],[1]材料清单!$D$2:$N$996,5,0),"")</f>
        <v/>
      </c>
      <c r="I99" s="49"/>
      <c r="J99" s="69" t="str">
        <f>IFERROR(Q99/H99,"")</f>
        <v/>
      </c>
      <c r="K99" s="51" t="str">
        <f>IFERROR(J99/M99,"")</f>
        <v/>
      </c>
      <c r="L99" s="52"/>
      <c r="M99" s="53" t="str">
        <f>IFERROR(G99/I99,"")</f>
        <v/>
      </c>
      <c r="N99" s="54"/>
      <c r="O99" s="55"/>
      <c r="P99" s="37"/>
      <c r="Q99" s="56"/>
      <c r="R99" s="56">
        <f>IFERROR(Q99*I99/1000*1.05,"")</f>
        <v>0</v>
      </c>
      <c r="S99" s="62"/>
      <c r="T99" s="61"/>
      <c r="U99" s="48"/>
    </row>
    <row r="100" customHeight="1" spans="2:21">
      <c r="B100" s="41"/>
      <c r="C100" s="42"/>
      <c r="D100" s="47"/>
      <c r="E100" s="47"/>
      <c r="F100" s="48"/>
      <c r="G100" s="60" t="str">
        <f>IFERROR(VLOOKUP(表1_3[[#This Row],[使用材料]],[1]材料清单!$D$2:$N$996,4,0),"")</f>
        <v/>
      </c>
      <c r="H100" s="60" t="str">
        <f>IFERROR(VLOOKUP(表1_3[[#This Row],[使用材料]],[1]材料清单!$D$2:$N$996,5,0),"")</f>
        <v/>
      </c>
      <c r="I100" s="49"/>
      <c r="J100" s="69" t="str">
        <f>IFERROR(Q100/H100,"")</f>
        <v/>
      </c>
      <c r="K100" s="51" t="str">
        <f>IFERROR(J100/M100,"")</f>
        <v/>
      </c>
      <c r="L100" s="52"/>
      <c r="M100" s="53" t="str">
        <f>IFERROR(G100/I100,"")</f>
        <v/>
      </c>
      <c r="N100" s="54"/>
      <c r="O100" s="55"/>
      <c r="P100" s="37"/>
      <c r="Q100" s="56"/>
      <c r="R100" s="56">
        <f>IFERROR(Q100*I100/1000*1.05,"")</f>
        <v>0</v>
      </c>
      <c r="S100" s="62"/>
      <c r="T100" s="61"/>
      <c r="U100" s="48"/>
    </row>
    <row r="101" customHeight="1" spans="2:21">
      <c r="B101" s="41"/>
      <c r="C101" s="42"/>
      <c r="D101" s="47"/>
      <c r="E101" s="47"/>
      <c r="F101" s="48"/>
      <c r="G101" s="60" t="str">
        <f>IFERROR(VLOOKUP(表1_3[[#This Row],[使用材料]],[1]材料清单!$D$2:$N$996,4,0),"")</f>
        <v/>
      </c>
      <c r="H101" s="60" t="str">
        <f>IFERROR(VLOOKUP(表1_3[[#This Row],[使用材料]],[1]材料清单!$D$2:$N$996,5,0),"")</f>
        <v/>
      </c>
      <c r="I101" s="49"/>
      <c r="J101" s="69" t="str">
        <f>IFERROR(Q101/H101,"")</f>
        <v/>
      </c>
      <c r="K101" s="51" t="str">
        <f>IFERROR(J101/M101,"")</f>
        <v/>
      </c>
      <c r="L101" s="52"/>
      <c r="M101" s="53" t="str">
        <f>IFERROR(G101/I101,"")</f>
        <v/>
      </c>
      <c r="N101" s="54"/>
      <c r="O101" s="55"/>
      <c r="P101" s="37"/>
      <c r="Q101" s="56"/>
      <c r="R101" s="56">
        <f>IFERROR(Q101*I101/1000*1.05,"")</f>
        <v>0</v>
      </c>
      <c r="S101" s="62"/>
      <c r="T101" s="61"/>
      <c r="U101" s="48"/>
    </row>
    <row r="102" customHeight="1" spans="2:21">
      <c r="B102" s="41"/>
      <c r="C102" s="42"/>
      <c r="D102" s="47"/>
      <c r="E102" s="47"/>
      <c r="F102" s="48"/>
      <c r="G102" s="60" t="str">
        <f>IFERROR(VLOOKUP(表1_3[[#This Row],[使用材料]],[1]材料清单!$D$2:$N$996,4,0),"")</f>
        <v/>
      </c>
      <c r="H102" s="60" t="str">
        <f>IFERROR(VLOOKUP(表1_3[[#This Row],[使用材料]],[1]材料清单!$D$2:$N$996,5,0),"")</f>
        <v/>
      </c>
      <c r="I102" s="49"/>
      <c r="J102" s="69" t="str">
        <f>IFERROR(Q102/H102,"")</f>
        <v/>
      </c>
      <c r="K102" s="51" t="str">
        <f>IFERROR(J102/M102,"")</f>
        <v/>
      </c>
      <c r="L102" s="52"/>
      <c r="M102" s="53" t="str">
        <f>IFERROR(G102/I102,"")</f>
        <v/>
      </c>
      <c r="N102" s="54"/>
      <c r="O102" s="55"/>
      <c r="P102" s="37"/>
      <c r="Q102" s="56"/>
      <c r="R102" s="56">
        <f>IFERROR(Q102*I102/1000*1.05,"")</f>
        <v>0</v>
      </c>
      <c r="S102" s="62"/>
      <c r="T102" s="61"/>
      <c r="U102" s="48"/>
    </row>
    <row r="103" customHeight="1" spans="2:21">
      <c r="B103" s="41"/>
      <c r="C103" s="42"/>
      <c r="D103" s="47"/>
      <c r="E103" s="47"/>
      <c r="F103" s="48"/>
      <c r="G103" s="60" t="str">
        <f>IFERROR(VLOOKUP(表1_3[[#This Row],[使用材料]],[1]材料清单!$D$2:$N$996,4,0),"")</f>
        <v/>
      </c>
      <c r="H103" s="60" t="str">
        <f>IFERROR(VLOOKUP(表1_3[[#This Row],[使用材料]],[1]材料清单!$D$2:$N$996,5,0),"")</f>
        <v/>
      </c>
      <c r="I103" s="49"/>
      <c r="J103" s="69" t="str">
        <f>IFERROR(Q103/H103,"")</f>
        <v/>
      </c>
      <c r="K103" s="51" t="str">
        <f>IFERROR(J103/M103,"")</f>
        <v/>
      </c>
      <c r="L103" s="52"/>
      <c r="M103" s="53" t="str">
        <f>IFERROR(G103/I103,"")</f>
        <v/>
      </c>
      <c r="N103" s="54"/>
      <c r="O103" s="55"/>
      <c r="P103" s="37"/>
      <c r="Q103" s="56"/>
      <c r="R103" s="56">
        <f>IFERROR(Q103*I103/1000*1.05,"")</f>
        <v>0</v>
      </c>
      <c r="S103" s="62"/>
      <c r="T103" s="61"/>
      <c r="U103" s="48"/>
    </row>
    <row r="104" customHeight="1" spans="2:21">
      <c r="B104" s="41"/>
      <c r="C104" s="42"/>
      <c r="D104" s="47"/>
      <c r="E104" s="47"/>
      <c r="F104" s="48"/>
      <c r="G104" s="60" t="str">
        <f>IFERROR(VLOOKUP(表1_3[[#This Row],[使用材料]],[1]材料清单!$D$2:$N$996,4,0),"")</f>
        <v/>
      </c>
      <c r="H104" s="60" t="str">
        <f>IFERROR(VLOOKUP(表1_3[[#This Row],[使用材料]],[1]材料清单!$D$2:$N$996,5,0),"")</f>
        <v/>
      </c>
      <c r="I104" s="49"/>
      <c r="J104" s="69" t="str">
        <f>IFERROR(Q104/H104,"")</f>
        <v/>
      </c>
      <c r="K104" s="51" t="str">
        <f>IFERROR(J104/M104,"")</f>
        <v/>
      </c>
      <c r="L104" s="52"/>
      <c r="M104" s="53" t="str">
        <f>IFERROR(G104/I104,"")</f>
        <v/>
      </c>
      <c r="N104" s="54"/>
      <c r="O104" s="55"/>
      <c r="P104" s="37"/>
      <c r="Q104" s="56"/>
      <c r="R104" s="56">
        <f>IFERROR(Q104*I104/1000*1.05,"")</f>
        <v>0</v>
      </c>
      <c r="S104" s="62"/>
      <c r="T104" s="61"/>
      <c r="U104" s="48"/>
    </row>
    <row r="105" customHeight="1" spans="2:21">
      <c r="B105" s="41"/>
      <c r="C105" s="42"/>
      <c r="D105" s="47"/>
      <c r="E105" s="47"/>
      <c r="F105" s="48"/>
      <c r="G105" s="60" t="str">
        <f>IFERROR(VLOOKUP(表1_3[[#This Row],[使用材料]],[1]材料清单!$D$2:$N$996,4,0),"")</f>
        <v/>
      </c>
      <c r="H105" s="60" t="str">
        <f>IFERROR(VLOOKUP(表1_3[[#This Row],[使用材料]],[1]材料清单!$D$2:$N$996,5,0),"")</f>
        <v/>
      </c>
      <c r="I105" s="49"/>
      <c r="J105" s="69" t="str">
        <f>IFERROR(Q105/H105,"")</f>
        <v/>
      </c>
      <c r="K105" s="51" t="str">
        <f>IFERROR(J105/M105,"")</f>
        <v/>
      </c>
      <c r="L105" s="52"/>
      <c r="M105" s="53" t="str">
        <f>IFERROR(G105/I105,"")</f>
        <v/>
      </c>
      <c r="N105" s="54"/>
      <c r="O105" s="55"/>
      <c r="P105" s="37"/>
      <c r="Q105" s="56"/>
      <c r="R105" s="56">
        <f>IFERROR(Q105*I105/1000*1.05,"")</f>
        <v>0</v>
      </c>
      <c r="S105" s="62"/>
      <c r="T105" s="61"/>
      <c r="U105" s="48"/>
    </row>
    <row r="106" customHeight="1" spans="2:21">
      <c r="B106" s="41"/>
      <c r="C106" s="42"/>
      <c r="D106" s="47"/>
      <c r="E106" s="47"/>
      <c r="F106" s="48"/>
      <c r="G106" s="60" t="str">
        <f>IFERROR(VLOOKUP(表1_3[[#This Row],[使用材料]],[1]材料清单!$D$2:$N$996,4,0),"")</f>
        <v/>
      </c>
      <c r="H106" s="60" t="str">
        <f>IFERROR(VLOOKUP(表1_3[[#This Row],[使用材料]],[1]材料清单!$D$2:$N$996,5,0),"")</f>
        <v/>
      </c>
      <c r="I106" s="49"/>
      <c r="J106" s="69" t="str">
        <f>IFERROR(Q106/H106,"")</f>
        <v/>
      </c>
      <c r="K106" s="51" t="str">
        <f>IFERROR(J106/M106,"")</f>
        <v/>
      </c>
      <c r="L106" s="52"/>
      <c r="M106" s="53" t="str">
        <f>IFERROR(G106/I106,"")</f>
        <v/>
      </c>
      <c r="N106" s="54"/>
      <c r="O106" s="55"/>
      <c r="P106" s="37"/>
      <c r="Q106" s="56"/>
      <c r="R106" s="56">
        <f>IFERROR(Q106*I106/1000*1.05,"")</f>
        <v>0</v>
      </c>
      <c r="S106" s="62"/>
      <c r="T106" s="61"/>
      <c r="U106" s="48"/>
    </row>
    <row r="107" customHeight="1" spans="2:21">
      <c r="B107" s="41"/>
      <c r="C107" s="42"/>
      <c r="D107" s="47"/>
      <c r="E107" s="47"/>
      <c r="F107" s="48"/>
      <c r="G107" s="60" t="str">
        <f>IFERROR(VLOOKUP(表1_3[[#This Row],[使用材料]],[1]材料清单!$D$2:$N$996,4,0),"")</f>
        <v/>
      </c>
      <c r="H107" s="60" t="str">
        <f>IFERROR(VLOOKUP(表1_3[[#This Row],[使用材料]],[1]材料清单!$D$2:$N$996,5,0),"")</f>
        <v/>
      </c>
      <c r="I107" s="49"/>
      <c r="J107" s="69" t="str">
        <f>IFERROR(Q107/H107,"")</f>
        <v/>
      </c>
      <c r="K107" s="51" t="str">
        <f>IFERROR(J107/M107,"")</f>
        <v/>
      </c>
      <c r="L107" s="52"/>
      <c r="M107" s="53" t="str">
        <f>IFERROR(G107/I107,"")</f>
        <v/>
      </c>
      <c r="N107" s="54"/>
      <c r="O107" s="55"/>
      <c r="P107" s="37"/>
      <c r="Q107" s="56"/>
      <c r="R107" s="56">
        <f>IFERROR(Q107*I107/1000*1.05,"")</f>
        <v>0</v>
      </c>
      <c r="S107" s="62"/>
      <c r="T107" s="61"/>
      <c r="U107" s="48"/>
    </row>
    <row r="108" customHeight="1" spans="2:21">
      <c r="B108" s="41"/>
      <c r="C108" s="42"/>
      <c r="D108" s="47"/>
      <c r="E108" s="47"/>
      <c r="F108" s="48"/>
      <c r="G108" s="60" t="str">
        <f>IFERROR(VLOOKUP(表1_3[[#This Row],[使用材料]],[1]材料清单!$D$2:$N$996,4,0),"")</f>
        <v/>
      </c>
      <c r="H108" s="60" t="str">
        <f>IFERROR(VLOOKUP(表1_3[[#This Row],[使用材料]],[1]材料清单!$D$2:$N$996,5,0),"")</f>
        <v/>
      </c>
      <c r="I108" s="49"/>
      <c r="J108" s="69" t="str">
        <f>IFERROR(Q108/H108,"")</f>
        <v/>
      </c>
      <c r="K108" s="51" t="str">
        <f>IFERROR(J108/M108,"")</f>
        <v/>
      </c>
      <c r="L108" s="52"/>
      <c r="M108" s="53" t="str">
        <f>IFERROR(G108/I108,"")</f>
        <v/>
      </c>
      <c r="N108" s="54"/>
      <c r="O108" s="55"/>
      <c r="P108" s="37"/>
      <c r="Q108" s="56"/>
      <c r="R108" s="56">
        <f>IFERROR(Q108*I108/1000*1.05,"")</f>
        <v>0</v>
      </c>
      <c r="S108" s="62"/>
      <c r="T108" s="61"/>
      <c r="U108" s="48"/>
    </row>
    <row r="109" customHeight="1" spans="2:21">
      <c r="B109" s="41"/>
      <c r="C109" s="42"/>
      <c r="D109" s="47"/>
      <c r="E109" s="47"/>
      <c r="F109" s="48"/>
      <c r="G109" s="60" t="str">
        <f>IFERROR(VLOOKUP(表1_3[[#This Row],[使用材料]],[1]材料清单!$D$2:$N$996,4,0),"")</f>
        <v/>
      </c>
      <c r="H109" s="60" t="str">
        <f>IFERROR(VLOOKUP(表1_3[[#This Row],[使用材料]],[1]材料清单!$D$2:$N$996,5,0),"")</f>
        <v/>
      </c>
      <c r="I109" s="49"/>
      <c r="J109" s="69" t="str">
        <f>IFERROR(Q109/H109,"")</f>
        <v/>
      </c>
      <c r="K109" s="51" t="str">
        <f>IFERROR(J109/M109,"")</f>
        <v/>
      </c>
      <c r="L109" s="52"/>
      <c r="M109" s="53" t="str">
        <f>IFERROR(G109/I109,"")</f>
        <v/>
      </c>
      <c r="N109" s="54"/>
      <c r="O109" s="55"/>
      <c r="P109" s="37"/>
      <c r="Q109" s="56"/>
      <c r="R109" s="56">
        <f>IFERROR(Q109*I109/1000*1.05,"")</f>
        <v>0</v>
      </c>
      <c r="S109" s="62"/>
      <c r="T109" s="61"/>
      <c r="U109" s="48"/>
    </row>
    <row r="110" customHeight="1" spans="2:21">
      <c r="B110" s="41"/>
      <c r="C110" s="42"/>
      <c r="D110" s="47"/>
      <c r="E110" s="47"/>
      <c r="F110" s="48"/>
      <c r="G110" s="60" t="str">
        <f>IFERROR(VLOOKUP(表1_3[[#This Row],[使用材料]],[1]材料清单!$D$2:$N$996,4,0),"")</f>
        <v/>
      </c>
      <c r="H110" s="60" t="str">
        <f>IFERROR(VLOOKUP(表1_3[[#This Row],[使用材料]],[1]材料清单!$D$2:$N$996,5,0),"")</f>
        <v/>
      </c>
      <c r="I110" s="49"/>
      <c r="J110" s="69" t="str">
        <f>IFERROR(Q110/H110,"")</f>
        <v/>
      </c>
      <c r="K110" s="51" t="str">
        <f>IFERROR(J110/M110,"")</f>
        <v/>
      </c>
      <c r="L110" s="52"/>
      <c r="M110" s="53" t="str">
        <f>IFERROR(G110/I110,"")</f>
        <v/>
      </c>
      <c r="N110" s="54"/>
      <c r="O110" s="55"/>
      <c r="P110" s="37"/>
      <c r="Q110" s="56"/>
      <c r="R110" s="56">
        <f>IFERROR(Q110*I110/1000*1.05,"")</f>
        <v>0</v>
      </c>
      <c r="S110" s="62"/>
      <c r="T110" s="61"/>
      <c r="U110" s="48"/>
    </row>
    <row r="111" customHeight="1" spans="2:21">
      <c r="B111" s="41"/>
      <c r="C111" s="42"/>
      <c r="D111" s="47"/>
      <c r="E111" s="47"/>
      <c r="F111" s="48"/>
      <c r="G111" s="60" t="str">
        <f>IFERROR(VLOOKUP(表1_3[[#This Row],[使用材料]],[1]材料清单!$D$2:$N$996,4,0),"")</f>
        <v/>
      </c>
      <c r="H111" s="60" t="str">
        <f>IFERROR(VLOOKUP(表1_3[[#This Row],[使用材料]],[1]材料清单!$D$2:$N$996,5,0),"")</f>
        <v/>
      </c>
      <c r="I111" s="49"/>
      <c r="J111" s="69" t="str">
        <f>IFERROR(Q111/H111,"")</f>
        <v/>
      </c>
      <c r="K111" s="51" t="str">
        <f>IFERROR(J111/M111,"")</f>
        <v/>
      </c>
      <c r="L111" s="52"/>
      <c r="M111" s="53" t="str">
        <f>IFERROR(G111/I111,"")</f>
        <v/>
      </c>
      <c r="N111" s="54"/>
      <c r="O111" s="55"/>
      <c r="P111" s="37"/>
      <c r="Q111" s="56"/>
      <c r="R111" s="56">
        <f>IFERROR(Q111*I111/1000*1.05,"")</f>
        <v>0</v>
      </c>
      <c r="S111" s="62"/>
      <c r="T111" s="61"/>
      <c r="U111" s="48"/>
    </row>
    <row r="112" customHeight="1" spans="2:21">
      <c r="B112" s="41"/>
      <c r="C112" s="42"/>
      <c r="D112" s="47"/>
      <c r="E112" s="47"/>
      <c r="F112" s="48"/>
      <c r="G112" s="60" t="str">
        <f>IFERROR(VLOOKUP(表1_3[[#This Row],[使用材料]],[1]材料清单!$D$2:$N$996,4,0),"")</f>
        <v/>
      </c>
      <c r="H112" s="60" t="str">
        <f>IFERROR(VLOOKUP(表1_3[[#This Row],[使用材料]],[1]材料清单!$D$2:$N$996,5,0),"")</f>
        <v/>
      </c>
      <c r="I112" s="49"/>
      <c r="J112" s="69" t="str">
        <f>IFERROR(Q112/H112,"")</f>
        <v/>
      </c>
      <c r="K112" s="51" t="str">
        <f>IFERROR(J112/M112,"")</f>
        <v/>
      </c>
      <c r="L112" s="52"/>
      <c r="M112" s="53" t="str">
        <f>IFERROR(G112/I112,"")</f>
        <v/>
      </c>
      <c r="N112" s="54"/>
      <c r="O112" s="55"/>
      <c r="P112" s="37"/>
      <c r="Q112" s="56"/>
      <c r="R112" s="56">
        <f>IFERROR(Q112*I112/1000*1.05,"")</f>
        <v>0</v>
      </c>
      <c r="S112" s="62"/>
      <c r="T112" s="61"/>
      <c r="U112" s="48"/>
    </row>
    <row r="113" customHeight="1" spans="2:21">
      <c r="B113" s="41"/>
      <c r="C113" s="42"/>
      <c r="D113" s="47"/>
      <c r="E113" s="47"/>
      <c r="F113" s="48"/>
      <c r="G113" s="60" t="str">
        <f>IFERROR(VLOOKUP(表1_3[[#This Row],[使用材料]],[1]材料清单!$D$2:$N$996,4,0),"")</f>
        <v/>
      </c>
      <c r="H113" s="60" t="str">
        <f>IFERROR(VLOOKUP(表1_3[[#This Row],[使用材料]],[1]材料清单!$D$2:$N$996,5,0),"")</f>
        <v/>
      </c>
      <c r="I113" s="49"/>
      <c r="J113" s="69" t="str">
        <f>IFERROR(Q113/H113,"")</f>
        <v/>
      </c>
      <c r="K113" s="51" t="str">
        <f>IFERROR(J113/M113,"")</f>
        <v/>
      </c>
      <c r="L113" s="52"/>
      <c r="M113" s="53" t="str">
        <f>IFERROR(G113/I113,"")</f>
        <v/>
      </c>
      <c r="N113" s="54"/>
      <c r="O113" s="55"/>
      <c r="P113" s="37"/>
      <c r="Q113" s="56"/>
      <c r="R113" s="56">
        <f>IFERROR(Q113*I113/1000*1.05,"")</f>
        <v>0</v>
      </c>
      <c r="S113" s="62"/>
      <c r="T113" s="61"/>
      <c r="U113" s="48"/>
    </row>
    <row r="114" customHeight="1" spans="2:21">
      <c r="B114" s="41"/>
      <c r="C114" s="42"/>
      <c r="D114" s="47"/>
      <c r="E114" s="47"/>
      <c r="F114" s="48"/>
      <c r="G114" s="60" t="str">
        <f>IFERROR(VLOOKUP(表1_3[[#This Row],[使用材料]],[1]材料清单!$D$2:$N$996,4,0),"")</f>
        <v/>
      </c>
      <c r="H114" s="60" t="str">
        <f>IFERROR(VLOOKUP(表1_3[[#This Row],[使用材料]],[1]材料清单!$D$2:$N$996,5,0),"")</f>
        <v/>
      </c>
      <c r="I114" s="49"/>
      <c r="J114" s="69" t="str">
        <f>IFERROR(Q114/H114,"")</f>
        <v/>
      </c>
      <c r="K114" s="51" t="str">
        <f>IFERROR(J114/M114,"")</f>
        <v/>
      </c>
      <c r="L114" s="52"/>
      <c r="M114" s="53" t="str">
        <f>IFERROR(G114/I114,"")</f>
        <v/>
      </c>
      <c r="N114" s="54"/>
      <c r="O114" s="55"/>
      <c r="P114" s="37"/>
      <c r="Q114" s="56"/>
      <c r="R114" s="56">
        <f>IFERROR(Q114*I114/1000*1.05,"")</f>
        <v>0</v>
      </c>
      <c r="S114" s="62"/>
      <c r="T114" s="61"/>
      <c r="U114" s="48"/>
    </row>
    <row r="115" customHeight="1" spans="2:21">
      <c r="B115" s="41"/>
      <c r="C115" s="42"/>
      <c r="D115" s="47"/>
      <c r="E115" s="47"/>
      <c r="F115" s="48"/>
      <c r="G115" s="60" t="str">
        <f>IFERROR(VLOOKUP(表1_3[[#This Row],[使用材料]],[1]材料清单!$D$2:$N$996,4,0),"")</f>
        <v/>
      </c>
      <c r="H115" s="60" t="str">
        <f>IFERROR(VLOOKUP(表1_3[[#This Row],[使用材料]],[1]材料清单!$D$2:$N$996,5,0),"")</f>
        <v/>
      </c>
      <c r="I115" s="49"/>
      <c r="J115" s="69" t="str">
        <f>IFERROR(Q115/H115,"")</f>
        <v/>
      </c>
      <c r="K115" s="51" t="str">
        <f>IFERROR(J115/M115,"")</f>
        <v/>
      </c>
      <c r="L115" s="52"/>
      <c r="M115" s="53" t="str">
        <f>IFERROR(G115/I115,"")</f>
        <v/>
      </c>
      <c r="N115" s="54"/>
      <c r="O115" s="55"/>
      <c r="P115" s="37"/>
      <c r="Q115" s="56"/>
      <c r="R115" s="56">
        <f>IFERROR(Q115*I115/1000*1.05,"")</f>
        <v>0</v>
      </c>
      <c r="S115" s="62"/>
      <c r="T115" s="61"/>
      <c r="U115" s="48"/>
    </row>
    <row r="116" customHeight="1" spans="2:21">
      <c r="B116" s="41"/>
      <c r="C116" s="42"/>
      <c r="D116" s="47"/>
      <c r="E116" s="47"/>
      <c r="F116" s="48"/>
      <c r="G116" s="60" t="str">
        <f>IFERROR(VLOOKUP(表1_3[[#This Row],[使用材料]],[1]材料清单!$D$2:$N$996,4,0),"")</f>
        <v/>
      </c>
      <c r="H116" s="60" t="str">
        <f>IFERROR(VLOOKUP(表1_3[[#This Row],[使用材料]],[1]材料清单!$D$2:$N$996,5,0),"")</f>
        <v/>
      </c>
      <c r="I116" s="49"/>
      <c r="J116" s="69" t="str">
        <f>IFERROR(Q116/H116,"")</f>
        <v/>
      </c>
      <c r="K116" s="51" t="str">
        <f>IFERROR(J116/M116,"")</f>
        <v/>
      </c>
      <c r="L116" s="52"/>
      <c r="M116" s="53" t="str">
        <f>IFERROR(G116/I116,"")</f>
        <v/>
      </c>
      <c r="N116" s="54"/>
      <c r="O116" s="55"/>
      <c r="P116" s="37"/>
      <c r="Q116" s="56"/>
      <c r="R116" s="56">
        <f>IFERROR(Q116*I116/1000*1.05,"")</f>
        <v>0</v>
      </c>
      <c r="S116" s="62"/>
      <c r="T116" s="61"/>
      <c r="U116" s="48"/>
    </row>
    <row r="117" customHeight="1" spans="2:21">
      <c r="B117" s="41"/>
      <c r="C117" s="42"/>
      <c r="D117" s="47"/>
      <c r="E117" s="47"/>
      <c r="F117" s="48"/>
      <c r="G117" s="60" t="str">
        <f>IFERROR(VLOOKUP(表1_3[[#This Row],[使用材料]],[1]材料清单!$D$2:$N$996,4,0),"")</f>
        <v/>
      </c>
      <c r="H117" s="60" t="str">
        <f>IFERROR(VLOOKUP(表1_3[[#This Row],[使用材料]],[1]材料清单!$D$2:$N$996,5,0),"")</f>
        <v/>
      </c>
      <c r="I117" s="49"/>
      <c r="J117" s="69" t="str">
        <f>IFERROR(Q117/H117,"")</f>
        <v/>
      </c>
      <c r="K117" s="51" t="str">
        <f>IFERROR(J117/M117,"")</f>
        <v/>
      </c>
      <c r="L117" s="52"/>
      <c r="M117" s="53" t="str">
        <f>IFERROR(G117/I117,"")</f>
        <v/>
      </c>
      <c r="N117" s="54"/>
      <c r="O117" s="55"/>
      <c r="P117" s="37"/>
      <c r="Q117" s="56"/>
      <c r="R117" s="56">
        <f>IFERROR(Q117*I117/1000*1.05,"")</f>
        <v>0</v>
      </c>
      <c r="S117" s="62"/>
      <c r="T117" s="61"/>
      <c r="U117" s="48"/>
    </row>
    <row r="118" customHeight="1" spans="2:21">
      <c r="B118" s="41"/>
      <c r="C118" s="42"/>
      <c r="D118" s="47"/>
      <c r="E118" s="47"/>
      <c r="F118" s="48"/>
      <c r="G118" s="55" t="str">
        <f>IFERROR(VLOOKUP(表1_3[[#This Row],[使用材料]],[1]材料清单!$D$2:$N$996,4,0),"")</f>
        <v/>
      </c>
      <c r="H118" s="55" t="str">
        <f>IFERROR(VLOOKUP(表1_3[[#This Row],[使用材料]],[1]材料清单!$D$2:$N$996,5,0),"")</f>
        <v/>
      </c>
      <c r="I118" s="49"/>
      <c r="J118" s="69" t="str">
        <f>IFERROR(Q118/H118,"")</f>
        <v/>
      </c>
      <c r="K118" s="51" t="str">
        <f>IFERROR(J118/M118,"")</f>
        <v/>
      </c>
      <c r="L118" s="52"/>
      <c r="M118" s="53" t="str">
        <f>IFERROR(G118/I118,"")</f>
        <v/>
      </c>
      <c r="N118" s="54"/>
      <c r="O118" s="55"/>
      <c r="P118" s="37"/>
      <c r="Q118" s="56"/>
      <c r="R118" s="56">
        <f>IFERROR(Q118*I118/1000*1.05,"")</f>
        <v>0</v>
      </c>
      <c r="S118" s="62"/>
      <c r="T118" s="61"/>
      <c r="U118" s="48"/>
    </row>
    <row r="119" customHeight="1" spans="2:21">
      <c r="B119" s="41"/>
      <c r="C119" s="42"/>
      <c r="D119" s="47"/>
      <c r="E119" s="47"/>
      <c r="F119" s="48"/>
      <c r="G119" s="55" t="str">
        <f>IFERROR(VLOOKUP(表1_3[[#This Row],[使用材料]],[1]材料清单!$D$2:$N$996,4,0),"")</f>
        <v/>
      </c>
      <c r="H119" s="55" t="str">
        <f>IFERROR(VLOOKUP(表1_3[[#This Row],[使用材料]],[1]材料清单!$D$2:$N$996,5,0),"")</f>
        <v/>
      </c>
      <c r="I119" s="49"/>
      <c r="J119" s="69" t="str">
        <f>IFERROR(Q119/H119,"")</f>
        <v/>
      </c>
      <c r="K119" s="51" t="str">
        <f>IFERROR(J119/M119,"")</f>
        <v/>
      </c>
      <c r="L119" s="52"/>
      <c r="M119" s="53" t="str">
        <f>IFERROR(G119/I119,"")</f>
        <v/>
      </c>
      <c r="N119" s="54"/>
      <c r="O119" s="55"/>
      <c r="P119" s="37"/>
      <c r="Q119" s="56"/>
      <c r="R119" s="56">
        <f>IFERROR(Q119*I119/1000*1.05,"")</f>
        <v>0</v>
      </c>
      <c r="S119" s="62"/>
      <c r="T119" s="61"/>
      <c r="U119" s="48"/>
    </row>
    <row r="120" customHeight="1" spans="2:21">
      <c r="B120" s="41"/>
      <c r="C120" s="42"/>
      <c r="D120" s="47"/>
      <c r="E120" s="47"/>
      <c r="F120" s="48"/>
      <c r="G120" s="55" t="str">
        <f>IFERROR(VLOOKUP(表1_3[[#This Row],[使用材料]],[1]材料清单!$D$2:$N$996,4,0),"")</f>
        <v/>
      </c>
      <c r="H120" s="55" t="str">
        <f>IFERROR(VLOOKUP(表1_3[[#This Row],[使用材料]],[1]材料清单!$D$2:$N$996,5,0),"")</f>
        <v/>
      </c>
      <c r="I120" s="49"/>
      <c r="J120" s="70"/>
      <c r="K120" s="70"/>
      <c r="L120" s="52"/>
      <c r="M120" s="53" t="str">
        <f>IFERROR(G120/I120,"")</f>
        <v/>
      </c>
      <c r="N120" s="54"/>
      <c r="O120" s="55"/>
      <c r="P120" s="37"/>
      <c r="Q120" s="56"/>
      <c r="R120" s="56">
        <f>IFERROR(Q120*I120/1000*1.05,"")</f>
        <v>0</v>
      </c>
      <c r="S120" s="62"/>
      <c r="T120" s="61"/>
      <c r="U120" s="48"/>
    </row>
  </sheetData>
  <sheetProtection formatCells="0" formatColumns="0" formatRows="0" insertRows="0" insertColumns="0" insertHyperlinks="0" deleteColumns="0" deleteRows="0" sort="0" autoFilter="0" pivotTables="0"/>
  <pageMargins left="0.25" right="0.25" top="0.75" bottom="0.75" header="0.298611111111111" footer="0.298611111111111"/>
  <pageSetup paperSize="9" scale="73" orientation="landscape"/>
  <headerFooter>
    <oddHeader>&amp;C&amp;A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</cp:lastModifiedBy>
  <dcterms:created xsi:type="dcterms:W3CDTF">2025-12-19T07:54:40Z</dcterms:created>
  <dcterms:modified xsi:type="dcterms:W3CDTF">2025-12-19T07:54:55Z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EE935613306C49EEB0E19E9297C23ED7_11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