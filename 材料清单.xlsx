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2" windowHeight="12255"/>
  </bookViews>
  <sheets>
    <sheet name="材料清单" sheetId="1" r:id="rId1"/>
  </sheets>
  <definedNames>
    <definedName name="_xlnm._FilterDatabase" localSheetId="0" hidden="1">材料清单!$B$2:$O$236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wanha</author>
  </authors>
  <commentList>
    <comment ref="E23" authorId="0">
      <text>
        <r>
          <rPr>
            <b/>
            <sz val="9"/>
            <rFont val="宋体"/>
            <charset val="134"/>
          </rPr>
          <t>深圳市瑞和泰胶贴制品有限公司</t>
        </r>
      </text>
    </comment>
    <comment ref="E35" authorId="0">
      <text>
        <r>
          <rPr>
            <b/>
            <sz val="9"/>
            <rFont val="宋体"/>
            <charset val="134"/>
          </rPr>
          <t>wanha:</t>
        </r>
        <r>
          <rPr>
            <sz val="9"/>
            <rFont val="宋体"/>
            <charset val="134"/>
          </rPr>
          <t xml:space="preserve">
科电贸易（上海）有限公司深圳分公司
</t>
        </r>
      </text>
    </comment>
    <comment ref="E42" authorId="0">
      <text>
        <r>
          <rPr>
            <b/>
            <sz val="9"/>
            <rFont val="宋体"/>
            <charset val="134"/>
          </rPr>
          <t>江苏皇冠新材料科技有限公司</t>
        </r>
      </text>
    </comment>
    <comment ref="E152" authorId="0">
      <text>
        <r>
          <rPr>
            <b/>
            <sz val="9"/>
            <rFont val="宋体"/>
            <charset val="134"/>
          </rPr>
          <t>wanha:</t>
        </r>
        <r>
          <rPr>
            <sz val="9"/>
            <rFont val="宋体"/>
            <charset val="134"/>
          </rPr>
          <t xml:space="preserve">
深圳市鸿辉腾塑胶有限公司 </t>
        </r>
      </text>
    </comment>
  </commentList>
</comments>
</file>

<file path=xl/sharedStrings.xml><?xml version="1.0" encoding="utf-8"?>
<sst xmlns="http://schemas.openxmlformats.org/spreadsheetml/2006/main" count="674" uniqueCount="381">
  <si>
    <t>序号</t>
  </si>
  <si>
    <t>材料类别</t>
  </si>
  <si>
    <t>材料名</t>
  </si>
  <si>
    <t>厂商</t>
  </si>
  <si>
    <t>厚度
（mm）</t>
  </si>
  <si>
    <t>宽度</t>
  </si>
  <si>
    <t>长度（M）</t>
  </si>
  <si>
    <t>原材料单价</t>
  </si>
  <si>
    <t>原材料价格（整支）</t>
  </si>
  <si>
    <t>单价
（不含税）</t>
  </si>
  <si>
    <t>联络方式</t>
  </si>
  <si>
    <t>列1</t>
  </si>
  <si>
    <t>列2</t>
  </si>
  <si>
    <t>备注</t>
  </si>
  <si>
    <t>醋酸布</t>
  </si>
  <si>
    <t>0.12黑色醋酸布</t>
  </si>
  <si>
    <t>志恒鑫</t>
  </si>
  <si>
    <t>导电铜箔</t>
  </si>
  <si>
    <t>0.1导电铜箔（单面带胶）</t>
  </si>
  <si>
    <t>导电泡棉</t>
  </si>
  <si>
    <t>9*9*4MM 导电泡棉</t>
  </si>
  <si>
    <t>9*9*6MM导电泡棉</t>
  </si>
  <si>
    <t>9*9*9MM导电泡棉</t>
  </si>
  <si>
    <t>导电海绵</t>
  </si>
  <si>
    <t>0.8mm导电海绵带胶（灰色）</t>
  </si>
  <si>
    <t>0.1导电布</t>
  </si>
  <si>
    <t>ZHX-D020Q 0.1导电布</t>
  </si>
  <si>
    <t>成品</t>
  </si>
  <si>
    <t>S15充电小板导电布</t>
  </si>
  <si>
    <t>双面胶</t>
  </si>
  <si>
    <t>80μ油胶</t>
  </si>
  <si>
    <t>亿福利</t>
  </si>
  <si>
    <t>PET</t>
  </si>
  <si>
    <t>0.1透明PET原膜</t>
  </si>
  <si>
    <t>防水胶</t>
  </si>
  <si>
    <t>日东57115SB</t>
  </si>
  <si>
    <t>兴奕达</t>
  </si>
  <si>
    <t>日东57140B</t>
  </si>
  <si>
    <t>日东57120SB</t>
  </si>
  <si>
    <t>硅橡胶</t>
  </si>
  <si>
    <t>黑色磨砂硅胶（0.9T)</t>
  </si>
  <si>
    <t>信越</t>
  </si>
  <si>
    <t>双面胶(PET基材)</t>
  </si>
  <si>
    <t>3M55261-10</t>
  </si>
  <si>
    <t>硕源</t>
  </si>
  <si>
    <t>100m</t>
  </si>
  <si>
    <t>刘正主</t>
  </si>
  <si>
    <t>135 9020 6526</t>
  </si>
  <si>
    <t>3M</t>
  </si>
  <si>
    <t>3M 9448A双面胶</t>
  </si>
  <si>
    <t>3M 5952</t>
  </si>
  <si>
    <t>3M GTM710</t>
  </si>
  <si>
    <t>3M5909</t>
  </si>
  <si>
    <t>3M4991</t>
  </si>
  <si>
    <t>PC</t>
  </si>
  <si>
    <t>0.38黑色PC</t>
  </si>
  <si>
    <t>深圳源福绝缘材料有限公司</t>
  </si>
  <si>
    <t>IR膜</t>
  </si>
  <si>
    <t>RTYL200S</t>
  </si>
  <si>
    <t>深圳市瑞和泰胶贴制品有限公司</t>
  </si>
  <si>
    <t>周艳兵</t>
  </si>
  <si>
    <t>DIC防水泡棉胶</t>
  </si>
  <si>
    <t>DIC WSR100BK</t>
  </si>
  <si>
    <t xml:space="preserve">深圳市嘉隆硕丰科技有限公司 </t>
  </si>
  <si>
    <t>徐广珊</t>
  </si>
  <si>
    <t>PU保护（防静电）</t>
  </si>
  <si>
    <t>LK-5502EC</t>
  </si>
  <si>
    <t>深圳市博克电子科技有限公司</t>
  </si>
  <si>
    <t>7.7</t>
  </si>
  <si>
    <t>朱博琳</t>
  </si>
  <si>
    <t>泡棉胶</t>
  </si>
  <si>
    <t>BK-MC0500B</t>
  </si>
  <si>
    <t>80U油胶</t>
  </si>
  <si>
    <t>启彤</t>
  </si>
  <si>
    <t>积水5230PSB</t>
  </si>
  <si>
    <t>高防95</t>
  </si>
  <si>
    <t>不织布双面胶</t>
  </si>
  <si>
    <t>皇冠513</t>
  </si>
  <si>
    <t>PORON</t>
  </si>
  <si>
    <t>PSR-05</t>
  </si>
  <si>
    <t>李丹</t>
  </si>
  <si>
    <t>PSR-03</t>
  </si>
  <si>
    <t>PSR-015</t>
  </si>
  <si>
    <t>德莎双面胶</t>
  </si>
  <si>
    <t>tesa62646</t>
  </si>
  <si>
    <t>科电</t>
  </si>
  <si>
    <t>tesa68747</t>
  </si>
  <si>
    <t>付伟</t>
  </si>
  <si>
    <t>tesa88641</t>
  </si>
  <si>
    <t>防尘网</t>
  </si>
  <si>
    <t>JL-B400PA 黑色</t>
  </si>
  <si>
    <t>锦龙</t>
  </si>
  <si>
    <t>JL-B200PA 黑色尼龙</t>
  </si>
  <si>
    <t>JL-BO42HY-黑色</t>
  </si>
  <si>
    <t>JL-B100PA-10黑色尼龙</t>
  </si>
  <si>
    <t>JL-B320T-3 黑色</t>
  </si>
  <si>
    <t>三层防刮花硬化膜</t>
  </si>
  <si>
    <t>PFDS753-020</t>
  </si>
  <si>
    <t>皇冠</t>
  </si>
  <si>
    <t>980-1140</t>
  </si>
  <si>
    <t>皇冠双面胶</t>
  </si>
  <si>
    <t>皇冠7972G-05</t>
  </si>
  <si>
    <t>石则凰</t>
  </si>
  <si>
    <t>皇冠7980G</t>
  </si>
  <si>
    <t>皇冠7982G</t>
  </si>
  <si>
    <t>G代表皇冠LOGO,H代表空白LOGO</t>
  </si>
  <si>
    <t>皇冠7882BT</t>
  </si>
  <si>
    <t>皇冠7983G T=0.03</t>
  </si>
  <si>
    <t>CRT-K54022</t>
  </si>
  <si>
    <t>CRT-K54601 T=0.01双面胶</t>
  </si>
  <si>
    <t>CRT-K54022(CRT-DT150C )  时代群创特殊料号</t>
  </si>
  <si>
    <t>OCA</t>
  </si>
  <si>
    <t>CR-8347GM-8</t>
  </si>
  <si>
    <t xml:space="preserve">邓静 </t>
  </si>
  <si>
    <t>DT2208L</t>
  </si>
  <si>
    <t>铝箔</t>
  </si>
  <si>
    <t>HC-L15 单导铝箔</t>
  </si>
  <si>
    <t>华诚胶粘</t>
  </si>
  <si>
    <t>白色网格离型纸1-3G，T=0.1</t>
  </si>
  <si>
    <t>RC-109A3TD白色网格纸</t>
  </si>
  <si>
    <t>恒聪</t>
  </si>
  <si>
    <t>楚勇</t>
  </si>
  <si>
    <t>东莞市长安镇乌沙兴三路7号103室</t>
  </si>
  <si>
    <t>40度黑色磨砂硅胶</t>
  </si>
  <si>
    <t>繁中宝</t>
  </si>
  <si>
    <t>33</t>
  </si>
  <si>
    <t>EVA</t>
  </si>
  <si>
    <t>38度1.7黑色EVA</t>
  </si>
  <si>
    <t>日本积水XLIM泡棉</t>
  </si>
  <si>
    <t>WL04</t>
  </si>
  <si>
    <t xml:space="preserve">东莞市裕正胶带有限公司 </t>
  </si>
  <si>
    <t>黑色磨砂硅胶T=0.3 60度</t>
  </si>
  <si>
    <t>东莞市信越实业有限公司</t>
  </si>
  <si>
    <t>杨小姐</t>
  </si>
  <si>
    <t>圣戈班 K10-0.8mm-MD</t>
  </si>
  <si>
    <t xml:space="preserve">东莞市述科电子有限公司 </t>
  </si>
  <si>
    <t>唐永海</t>
  </si>
  <si>
    <t>艾利铜版纸</t>
  </si>
  <si>
    <t>AW5200P</t>
  </si>
  <si>
    <t>东莞市利弘胶粘制品有限公司</t>
  </si>
  <si>
    <t xml:space="preserve">彭爱林   </t>
  </si>
  <si>
    <t>广东省东莞市樟木头镇柏地文明街88号</t>
  </si>
  <si>
    <t>硅胶保护膜</t>
  </si>
  <si>
    <t>7525C绿色胶带</t>
  </si>
  <si>
    <t>东莞市柯盛新材料有限公司</t>
  </si>
  <si>
    <t>吴先生</t>
  </si>
  <si>
    <t>18822B蓝色胶带</t>
  </si>
  <si>
    <t>0.15红色硅胶带（领丰专用红）</t>
  </si>
  <si>
    <t>合成纸</t>
  </si>
  <si>
    <t>50#合成纸（可移胶）</t>
  </si>
  <si>
    <t xml:space="preserve">东莞市冠利印刷材料有限公司 </t>
  </si>
  <si>
    <t>沈先生</t>
  </si>
  <si>
    <t>高温标签纸</t>
  </si>
  <si>
    <t>耐高温标签纸0.1MM</t>
  </si>
  <si>
    <t>东莞虹星新材料有限公司</t>
  </si>
  <si>
    <t>卓丽华 
费先生</t>
  </si>
  <si>
    <t>136 6286 1207
18664074998</t>
  </si>
  <si>
    <t>广东省东莞市常平镇王竹仙路5号102室</t>
  </si>
  <si>
    <t>罗杰斯泡棉4790-79RL-20016-04PBLK</t>
  </si>
  <si>
    <t>鼎鸿</t>
  </si>
  <si>
    <t>可购散料</t>
  </si>
  <si>
    <t>3M 9448双面胶</t>
  </si>
  <si>
    <t>诚田城</t>
  </si>
  <si>
    <t>3M 4914-25双面胶</t>
  </si>
  <si>
    <t>3M9495LE</t>
  </si>
  <si>
    <t>3M5980-20</t>
  </si>
  <si>
    <t>tesa66824</t>
  </si>
  <si>
    <t>博纳泽</t>
  </si>
  <si>
    <t>tesa66822</t>
  </si>
  <si>
    <t>tesa68742</t>
  </si>
  <si>
    <t>tesa62932</t>
  </si>
  <si>
    <t>tesa66826</t>
  </si>
  <si>
    <t>tesa68740</t>
  </si>
  <si>
    <t>哑面黑色遮光胶</t>
  </si>
  <si>
    <t>TLBM30(T)(25)(NZ)</t>
  </si>
  <si>
    <t>标冠</t>
  </si>
  <si>
    <t>HTLBM30(NZ)</t>
  </si>
  <si>
    <t xml:space="preserve">TLBM10(T)(25)（NZ）0.01T#哑黑PET单面胶+25#透明底 </t>
  </si>
  <si>
    <t>哑光PVC(带胶）</t>
  </si>
  <si>
    <t>SVLBM80-W14OV</t>
  </si>
  <si>
    <t xml:space="preserve"> 陈辉</t>
  </si>
  <si>
    <t>38°EVA 0.5mm</t>
  </si>
  <si>
    <t>38°EVA 0.8mm</t>
  </si>
  <si>
    <t>0.05 平纹单面带胶导电布</t>
  </si>
  <si>
    <t>LX-LGD28</t>
  </si>
  <si>
    <t>洛翔电子</t>
  </si>
  <si>
    <t>兰刚</t>
  </si>
  <si>
    <t>BK-MC0800B</t>
  </si>
  <si>
    <t>0.05 平纹单面带胶银色导电布</t>
  </si>
  <si>
    <t>LX-LGD18</t>
  </si>
  <si>
    <t>0.05平纹单面带胶黑色导电布</t>
  </si>
  <si>
    <t>LX-LGD05HB</t>
  </si>
  <si>
    <t>0.15mm绿色PET保护膜（GHT125150GH4)</t>
  </si>
  <si>
    <t>惠州广鸿电子</t>
  </si>
  <si>
    <t>HKD-DD-TP03D-N-03T</t>
  </si>
  <si>
    <t>亚龙兴</t>
  </si>
  <si>
    <t>红色PE膜</t>
  </si>
  <si>
    <t>深圳市安祺包装材料有限公司</t>
  </si>
  <si>
    <t>13641478769，王生</t>
  </si>
  <si>
    <t>BK-ME040B</t>
  </si>
  <si>
    <t>0.06T蓝色PET胶带</t>
  </si>
  <si>
    <t>GHB5060BLL1  (100~200g)</t>
  </si>
  <si>
    <t>领丰用</t>
  </si>
  <si>
    <t>GPL-110GF</t>
  </si>
  <si>
    <t>GPL-160GF</t>
  </si>
  <si>
    <t>5611N-GF</t>
  </si>
  <si>
    <t>GTM710P</t>
  </si>
  <si>
    <t xml:space="preserve">7967G </t>
  </si>
  <si>
    <t>HTLBM25 T=0.05</t>
  </si>
  <si>
    <t>导电布</t>
  </si>
  <si>
    <t>YLX-0504T-DP-Y</t>
  </si>
  <si>
    <t>CHY6502</t>
  </si>
  <si>
    <t>创业鸿</t>
  </si>
  <si>
    <t>BK-MC1000B</t>
  </si>
  <si>
    <t>博克</t>
  </si>
  <si>
    <t>GPH160GF</t>
  </si>
  <si>
    <t>4570
（242.9/平方）</t>
  </si>
  <si>
    <t>GTM705P</t>
  </si>
  <si>
    <t>1.0黑砂整支25散料27.5</t>
  </si>
  <si>
    <t>0.8黑 喷油整支34散料36一平方不含税</t>
  </si>
  <si>
    <t>0.9黑砂整支24散料26</t>
  </si>
  <si>
    <t>0.03mm导电布</t>
  </si>
  <si>
    <t>3MVHB 4910</t>
  </si>
  <si>
    <t>复合石墨膜</t>
  </si>
  <si>
    <t>MT-40</t>
  </si>
  <si>
    <t xml:space="preserve">3M 4920 </t>
  </si>
  <si>
    <t xml:space="preserve">3M VHB 5915   </t>
  </si>
  <si>
    <t>TESA</t>
  </si>
  <si>
    <t>TESA 75630</t>
  </si>
  <si>
    <t>富印</t>
  </si>
  <si>
    <t>FYZ-S50BP</t>
  </si>
  <si>
    <t xml:space="preserve">TESA 4982 </t>
  </si>
  <si>
    <t>0.188PET原膜</t>
  </si>
  <si>
    <t>积水</t>
  </si>
  <si>
    <t>积水5250PSB</t>
  </si>
  <si>
    <t>利泰源</t>
  </si>
  <si>
    <t>马拉胶带</t>
  </si>
  <si>
    <t>蓝色马拉胶带</t>
  </si>
  <si>
    <t>可分切</t>
  </si>
  <si>
    <t>红色马拉胶带</t>
  </si>
  <si>
    <t>封箱胶带</t>
  </si>
  <si>
    <t>OPP透明胶带</t>
  </si>
  <si>
    <t>保护膜</t>
  </si>
  <si>
    <t>0.05单层亚克力保护膜（1-3g）</t>
  </si>
  <si>
    <t>美纹胶带</t>
  </si>
  <si>
    <t>PET撕膜胶带</t>
  </si>
  <si>
    <t>0.06绿色硅胶带</t>
  </si>
  <si>
    <t>0.3黑色泡棉胶</t>
  </si>
  <si>
    <t>0.4t4GVHB泡棉胶</t>
  </si>
  <si>
    <t>0.075透明原膜</t>
  </si>
  <si>
    <t>0.05透明硅胶保护膜200-400G</t>
  </si>
  <si>
    <t>深源</t>
  </si>
  <si>
    <t>0.05透明硅胶保护膜3-5G</t>
  </si>
  <si>
    <t>亚克力托底膜</t>
  </si>
  <si>
    <t>0.05透明亚克力保护膜1-3G
交3-5G粘性</t>
  </si>
  <si>
    <t>0.05透明亚克力保护膜5-10G</t>
  </si>
  <si>
    <t>0.05透明原膜</t>
  </si>
  <si>
    <t>0.2黑色PET(两面光滑）</t>
  </si>
  <si>
    <t>0.075透明亚克力保护膜3-5G</t>
  </si>
  <si>
    <t>0.075透明亚克力保护膜5-10G</t>
  </si>
  <si>
    <t xml:space="preserve">0.075蓝色双层硅胶保护膜20-30G </t>
  </si>
  <si>
    <t>离型膜</t>
  </si>
  <si>
    <t>0.025哑光离型膜 1-3g</t>
  </si>
  <si>
    <t>0.075蓝色离型膜40-60G</t>
  </si>
  <si>
    <t>0.075透明双层硅胶保护膜5-10G</t>
  </si>
  <si>
    <t>PE膜</t>
  </si>
  <si>
    <t>0.05透明PE网纹膜3-5G</t>
  </si>
  <si>
    <t>0.075透明亚克力保护膜10-20G</t>
  </si>
  <si>
    <t>PU膜</t>
  </si>
  <si>
    <t>0.09透明PU胶 1-3g</t>
  </si>
  <si>
    <t>9505D保护膜</t>
  </si>
  <si>
    <t>润 邦</t>
  </si>
  <si>
    <t>离型纸</t>
  </si>
  <si>
    <t>格拉辛</t>
  </si>
  <si>
    <t>白色格拉辛3-5GT=0.06MM</t>
  </si>
  <si>
    <t>平实胶粘</t>
  </si>
  <si>
    <t>白色格拉辛3-5GT=0.08MM</t>
  </si>
  <si>
    <t>静电膜</t>
  </si>
  <si>
    <t>0.04 PVC 静电膜</t>
  </si>
  <si>
    <t>鸿辉腾</t>
  </si>
  <si>
    <t>0.05  PE膜（100g)</t>
  </si>
  <si>
    <t>0.05 PE网纹膜（5-10G)</t>
  </si>
  <si>
    <t>PE保护膜平纹带胶</t>
  </si>
  <si>
    <t>0.05透明PE保护膜1-3G</t>
  </si>
  <si>
    <t>PE保护膜</t>
  </si>
  <si>
    <t>蓝色PE保护膜1-3G</t>
  </si>
  <si>
    <t>凌先生</t>
  </si>
  <si>
    <t>0.08单硅格拉辛</t>
  </si>
  <si>
    <t>0.1蓝色离型膜30-40G（离型面朝外）</t>
  </si>
  <si>
    <t>东莞市恒聪包装制品有限公司</t>
  </si>
  <si>
    <t>0.075透明离型膜3~5g</t>
  </si>
  <si>
    <t>0.08单硅格拉辛60-100G</t>
  </si>
  <si>
    <t>120G白色格拉辛3-5</t>
  </si>
  <si>
    <t>0.05茶色硅胶保护膜600G</t>
  </si>
  <si>
    <t>博卡</t>
  </si>
  <si>
    <t>刘小姐</t>
  </si>
  <si>
    <t>PU</t>
  </si>
  <si>
    <t>FU-500150AS</t>
  </si>
  <si>
    <t>羽邦</t>
  </si>
  <si>
    <t>泡棉</t>
  </si>
  <si>
    <t>PSR-10</t>
  </si>
  <si>
    <t>GPL-060GF</t>
  </si>
  <si>
    <t>0.1蓝色离型膜30-40G</t>
  </si>
  <si>
    <t>积水5240PSB</t>
  </si>
  <si>
    <t>0.075mm 透明离型膜3-5g</t>
  </si>
  <si>
    <t>积水5220PSB</t>
  </si>
  <si>
    <t>GTM720P  1200*50  3750含税</t>
  </si>
  <si>
    <t>75u透明双硅离型膜1-3g</t>
  </si>
  <si>
    <t>3M 9495MP T=0.13mm</t>
  </si>
  <si>
    <t xml:space="preserve">BK-GXN0400B </t>
  </si>
  <si>
    <t>JL-B1000PA</t>
  </si>
  <si>
    <t>HC-Z03</t>
  </si>
  <si>
    <t>TESA8854</t>
  </si>
  <si>
    <t>TDS-YLX-DD-003-N</t>
  </si>
  <si>
    <t>HC-Z01</t>
  </si>
  <si>
    <t>3M 5907</t>
  </si>
  <si>
    <t>PI</t>
  </si>
  <si>
    <t>UBE-025S</t>
  </si>
  <si>
    <t>日本宇部</t>
  </si>
  <si>
    <t>D3451</t>
  </si>
  <si>
    <t>索尼</t>
  </si>
  <si>
    <t>双导铜箔</t>
  </si>
  <si>
    <t>HKD-DD-TP03D-N-Y（进口胶水）</t>
  </si>
  <si>
    <t>CHY6508-F</t>
  </si>
  <si>
    <t>创鸿业</t>
  </si>
  <si>
    <t>3M4658F</t>
  </si>
  <si>
    <t>全方位导电海绵</t>
  </si>
  <si>
    <t>HC-Q05</t>
  </si>
  <si>
    <t>HC-Q08</t>
  </si>
  <si>
    <t>HC-Q10</t>
  </si>
  <si>
    <t>0.03mm双导铜箔</t>
  </si>
  <si>
    <t>0.43阻燃PC</t>
  </si>
  <si>
    <t>灵美</t>
  </si>
  <si>
    <t>FR730</t>
  </si>
  <si>
    <t>天常</t>
  </si>
  <si>
    <t>弘运（TESA代理）</t>
  </si>
  <si>
    <t>SDK</t>
  </si>
  <si>
    <t>SDK DST -10</t>
  </si>
  <si>
    <t>新汇明</t>
  </si>
  <si>
    <t>38°EVA 15.5mm</t>
  </si>
  <si>
    <t>38°EVA 3.1mm</t>
  </si>
  <si>
    <t>38°EVA 5.5mm</t>
  </si>
  <si>
    <t>3M4914-20</t>
  </si>
  <si>
    <t>HKD-DJ-TPO3D-N-HJ</t>
  </si>
  <si>
    <t>MWE 300LSE</t>
  </si>
  <si>
    <t>光大同创</t>
  </si>
  <si>
    <t>W3-V910TB</t>
  </si>
  <si>
    <t>ZC-V36008</t>
  </si>
  <si>
    <t>W3-V915T</t>
  </si>
  <si>
    <t xml:space="preserve">ZC-V36020 </t>
  </si>
  <si>
    <t xml:space="preserve">ZC-V37016 </t>
  </si>
  <si>
    <t>ZC-V2705</t>
  </si>
  <si>
    <t>ZC-V37015</t>
  </si>
  <si>
    <t xml:space="preserve">ZC-V37018 </t>
  </si>
  <si>
    <t>ZC-V2710</t>
  </si>
  <si>
    <t>0.3mm硅胶</t>
  </si>
  <si>
    <t>NT-3003B</t>
  </si>
  <si>
    <t>DICWHD720BKE</t>
  </si>
  <si>
    <t>SATI B080CHY</t>
  </si>
  <si>
    <t>MXCF-0012KK</t>
  </si>
  <si>
    <t>MXCF-2003C</t>
  </si>
  <si>
    <t>MXCP-0010KK</t>
  </si>
  <si>
    <t>Sekisui 5240SXB</t>
  </si>
  <si>
    <t>79SE-20008</t>
  </si>
  <si>
    <t xml:space="preserve">4790-92-12030-04PBLK </t>
  </si>
  <si>
    <t>FKAP-50</t>
  </si>
  <si>
    <t>TESA 68547</t>
  </si>
  <si>
    <t xml:space="preserve">TESA 68542 </t>
  </si>
  <si>
    <t>LS POM200</t>
  </si>
  <si>
    <t>Kimoto 100MXE</t>
  </si>
  <si>
    <t>镀铜导电布 单面导电背胶 0.2mm</t>
  </si>
  <si>
    <t>镀铜导电海绵 单面导电背胶 1mm</t>
  </si>
  <si>
    <t>镀铜导电海绵 单面导电背胶 1.5mm</t>
  </si>
  <si>
    <t>镀铜导电海绵 单面导电背胶 2mm</t>
  </si>
  <si>
    <t>镀铜导电海绵 单面导电背胶 3mm</t>
  </si>
  <si>
    <t>0.03白色PE离型膜</t>
  </si>
  <si>
    <t xml:space="preserve">0.054网格硅胶保护膜 </t>
  </si>
  <si>
    <t>非硅白色离型纸</t>
  </si>
  <si>
    <t>赛发75-19BHY</t>
  </si>
  <si>
    <t>繁中宝皇冠512</t>
  </si>
  <si>
    <t>皇冠A3050CT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</si>
</sst>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@&quot;/PCS&quot;"/>
    <numFmt numFmtId="178" formatCode="@&quot;/kg&quot;"/>
    <numFmt numFmtId="179" formatCode="@&quot;(含分切)&quot;"/>
    <numFmt numFmtId="180" formatCode="0_ "/>
    <numFmt numFmtId="181" formatCode="0.0_ "/>
  </numFmts>
  <fonts count="30">
    <font>
      <sz val="11"/>
      <color theme="1"/>
      <name val="宋体"/>
      <charset val="162"/>
      <scheme val="minor"/>
    </font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rgb="FFFFFFFF"/>
      <name val="Microsoft YaHei"/>
      <charset val="134"/>
    </font>
    <font>
      <b/>
      <sz val="11"/>
      <color rgb="FF000000"/>
      <name val="Microsoft YaHei"/>
      <charset val="134"/>
    </font>
    <font>
      <sz val="10"/>
      <color rgb="FFFFFFFF"/>
      <name val="Microsoft YaHei"/>
      <charset val="134"/>
    </font>
    <font>
      <sz val="10"/>
      <color rgb="FF000000"/>
      <name val="Microsoft YaHei"/>
      <charset val="134"/>
    </font>
    <font>
      <b/>
      <sz val="10"/>
      <color rgb="FF000000"/>
      <name val="Microsoft YaHei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rgb="FFB52D4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B52D4F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52D4F"/>
      </left>
      <right/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F7E1D7"/>
      </right>
      <top style="thin">
        <color rgb="FFF7E1D7"/>
      </top>
      <bottom style="thin">
        <color rgb="FFF7E1D7"/>
      </bottom>
      <diagonal/>
    </border>
    <border>
      <left style="thin">
        <color rgb="FFF7E1D7"/>
      </left>
      <right style="thin">
        <color rgb="FFF7E1D7"/>
      </right>
      <top style="thin">
        <color rgb="FFF7E1D7"/>
      </top>
      <bottom style="thin">
        <color rgb="FFF7E1D7"/>
      </bottom>
      <diagonal/>
    </border>
    <border>
      <left style="thin">
        <color rgb="FFB52D4F"/>
      </left>
      <right style="thin">
        <color rgb="FFB52D4F"/>
      </right>
      <top style="thin">
        <color rgb="FFFFFFFF"/>
      </top>
      <bottom style="thin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" fillId="7" borderId="8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11" applyNumberFormat="0" applyAlignment="0" applyProtection="0">
      <alignment vertical="center"/>
    </xf>
    <xf numFmtId="0" fontId="18" fillId="9" borderId="12" applyNumberFormat="0" applyAlignment="0" applyProtection="0">
      <alignment vertical="center"/>
    </xf>
    <xf numFmtId="0" fontId="19" fillId="9" borderId="11" applyNumberFormat="0" applyAlignment="0" applyProtection="0">
      <alignment vertical="center"/>
    </xf>
    <xf numFmtId="0" fontId="20" fillId="10" borderId="13" applyNumberFormat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</cellStyleXfs>
  <cellXfs count="65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right" vertical="center" wrapText="1"/>
    </xf>
    <xf numFmtId="176" fontId="6" fillId="4" borderId="2" xfId="0" applyNumberFormat="1" applyFont="1" applyFill="1" applyBorder="1" applyAlignment="1">
      <alignment horizontal="right" vertical="center" wrapText="1"/>
    </xf>
    <xf numFmtId="0" fontId="6" fillId="4" borderId="2" xfId="0" applyFont="1" applyFill="1" applyBorder="1" applyAlignment="1">
      <alignment horizontal="center" vertical="center" wrapText="1"/>
    </xf>
    <xf numFmtId="177" fontId="6" fillId="4" borderId="2" xfId="0" applyNumberFormat="1" applyFont="1" applyFill="1" applyBorder="1" applyAlignment="1">
      <alignment horizontal="right" vertical="center" wrapText="1"/>
    </xf>
    <xf numFmtId="178" fontId="6" fillId="4" borderId="2" xfId="0" applyNumberFormat="1" applyFont="1" applyFill="1" applyBorder="1" applyAlignment="1">
      <alignment horizontal="right" vertical="center" wrapText="1"/>
    </xf>
    <xf numFmtId="179" fontId="6" fillId="4" borderId="2" xfId="0" applyNumberFormat="1" applyFont="1" applyFill="1" applyBorder="1" applyAlignment="1">
      <alignment horizontal="right" vertical="center" wrapText="1"/>
    </xf>
    <xf numFmtId="0" fontId="7" fillId="4" borderId="2" xfId="0" applyFont="1" applyFill="1" applyBorder="1" applyAlignment="1">
      <alignment horizontal="right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right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left" vertical="center"/>
    </xf>
    <xf numFmtId="0" fontId="1" fillId="6" borderId="2" xfId="0" applyFont="1" applyFill="1" applyBorder="1" applyAlignment="1">
      <alignment horizontal="right" vertical="center"/>
    </xf>
    <xf numFmtId="0" fontId="2" fillId="6" borderId="2" xfId="0" applyFont="1" applyFill="1" applyBorder="1" applyAlignment="1">
      <alignment horizontal="right" vertical="center"/>
    </xf>
    <xf numFmtId="0" fontId="1" fillId="6" borderId="2" xfId="0" applyFont="1" applyFill="1" applyBorder="1" applyAlignment="1">
      <alignment vertical="center"/>
    </xf>
    <xf numFmtId="0" fontId="1" fillId="5" borderId="2" xfId="0" applyFont="1" applyFill="1" applyBorder="1" applyAlignment="1">
      <alignment horizontal="left" vertical="center"/>
    </xf>
    <xf numFmtId="0" fontId="8" fillId="6" borderId="2" xfId="0" applyFont="1" applyFill="1" applyBorder="1" applyAlignment="1">
      <alignment horizontal="left" vertical="center"/>
    </xf>
    <xf numFmtId="0" fontId="8" fillId="6" borderId="2" xfId="0" applyFont="1" applyFill="1" applyBorder="1" applyAlignment="1">
      <alignment horizontal="right" vertical="center"/>
    </xf>
    <xf numFmtId="0" fontId="2" fillId="6" borderId="2" xfId="0" applyFont="1" applyFill="1" applyBorder="1" applyAlignment="1">
      <alignment horizontal="right" vertical="center" wrapText="1"/>
    </xf>
    <xf numFmtId="180" fontId="2" fillId="6" borderId="2" xfId="0" applyNumberFormat="1" applyFont="1" applyFill="1" applyBorder="1" applyAlignment="1">
      <alignment horizontal="right" vertical="center"/>
    </xf>
    <xf numFmtId="0" fontId="1" fillId="6" borderId="2" xfId="0" applyFont="1" applyFill="1" applyBorder="1" applyAlignment="1">
      <alignment horizontal="left" vertical="center" wrapText="1"/>
    </xf>
    <xf numFmtId="49" fontId="1" fillId="6" borderId="2" xfId="0" applyNumberFormat="1" applyFont="1" applyFill="1" applyBorder="1" applyAlignment="1">
      <alignment horizontal="left" vertical="center"/>
    </xf>
    <xf numFmtId="180" fontId="6" fillId="6" borderId="2" xfId="0" applyNumberFormat="1" applyFont="1" applyFill="1" applyBorder="1" applyAlignment="1">
      <alignment horizontal="right" vertical="center" wrapText="1"/>
    </xf>
    <xf numFmtId="0" fontId="6" fillId="4" borderId="4" xfId="0" applyFont="1" applyFill="1" applyBorder="1" applyAlignment="1">
      <alignment horizontal="left" vertical="center" wrapText="1"/>
    </xf>
    <xf numFmtId="0" fontId="6" fillId="4" borderId="4" xfId="0" applyFont="1" applyFill="1" applyBorder="1" applyAlignment="1">
      <alignment horizontal="right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righ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6" xfId="0" applyFont="1" applyBorder="1" applyAlignment="1">
      <alignment horizontal="right" vertical="center"/>
    </xf>
    <xf numFmtId="0" fontId="2" fillId="0" borderId="6" xfId="0" applyFont="1" applyBorder="1" applyAlignment="1">
      <alignment horizontal="right" vertical="center"/>
    </xf>
    <xf numFmtId="0" fontId="1" fillId="0" borderId="6" xfId="0" applyFont="1" applyBorder="1" applyAlignment="1">
      <alignment vertical="center"/>
    </xf>
    <xf numFmtId="0" fontId="1" fillId="5" borderId="4" xfId="0" applyFont="1" applyFill="1" applyBorder="1" applyAlignment="1">
      <alignment horizontal="left" vertical="center"/>
    </xf>
    <xf numFmtId="0" fontId="1" fillId="6" borderId="4" xfId="0" applyFont="1" applyFill="1" applyBorder="1" applyAlignment="1">
      <alignment horizontal="left" vertical="center"/>
    </xf>
    <xf numFmtId="0" fontId="6" fillId="4" borderId="5" xfId="0" applyFont="1" applyFill="1" applyBorder="1" applyAlignment="1">
      <alignment horizontal="left" vertical="center" wrapText="1"/>
    </xf>
    <xf numFmtId="0" fontId="6" fillId="4" borderId="6" xfId="0" applyFont="1" applyFill="1" applyBorder="1" applyAlignment="1">
      <alignment horizontal="left" vertical="center" wrapText="1"/>
    </xf>
    <xf numFmtId="0" fontId="6" fillId="4" borderId="6" xfId="0" applyFont="1" applyFill="1" applyBorder="1" applyAlignment="1">
      <alignment horizontal="right" vertical="center" wrapText="1"/>
    </xf>
    <xf numFmtId="0" fontId="6" fillId="4" borderId="6" xfId="0" applyFont="1" applyFill="1" applyBorder="1" applyAlignment="1">
      <alignment horizontal="center" vertical="center" wrapText="1"/>
    </xf>
    <xf numFmtId="181" fontId="6" fillId="4" borderId="6" xfId="0" applyNumberFormat="1" applyFont="1" applyFill="1" applyBorder="1" applyAlignment="1">
      <alignment horizontal="right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center"/>
    </xf>
    <xf numFmtId="0" fontId="1" fillId="2" borderId="0" xfId="0" applyFont="1" applyFill="1"/>
    <xf numFmtId="0" fontId="1" fillId="2" borderId="6" xfId="0" applyFont="1" applyFill="1" applyBorder="1" applyAlignment="1">
      <alignment horizontal="right" vertical="center"/>
    </xf>
    <xf numFmtId="0" fontId="1" fillId="2" borderId="0" xfId="0" applyFont="1" applyFill="1" applyAlignment="1">
      <alignment horizontal="righ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5" fillId="2" borderId="7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left" vertical="center" wrapText="1"/>
    </xf>
    <xf numFmtId="0" fontId="6" fillId="2" borderId="6" xfId="0" applyFont="1" applyFill="1" applyBorder="1" applyAlignment="1">
      <alignment horizontal="right" vertical="center" wrapText="1"/>
    </xf>
    <xf numFmtId="0" fontId="6" fillId="2" borderId="6" xfId="0" applyFont="1" applyFill="1" applyBorder="1" applyAlignment="1">
      <alignment horizontal="left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vertical="center"/>
    </xf>
    <xf numFmtId="0" fontId="5" fillId="3" borderId="7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45720</xdr:colOff>
      <xdr:row>19</xdr:row>
      <xdr:rowOff>93307</xdr:rowOff>
    </xdr:from>
    <xdr:to>
      <xdr:col>11</xdr:col>
      <xdr:colOff>268555</xdr:colOff>
      <xdr:row>20</xdr:row>
      <xdr:rowOff>275590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049500" y="6070600"/>
          <a:ext cx="1186815" cy="4991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1" name="材料清单" displayName="材料清单" ref="B1:O236" totalsRowShown="0">
  <autoFilter xmlns:etc="http://www.wps.cn/officeDocument/2017/etCustomData" ref="B1:O236" etc:filterBottomFollowUsedRange="0"/>
  <tableColumns count="14">
    <tableColumn id="1" name="序号"/>
    <tableColumn id="2" name="材料类别"/>
    <tableColumn id="3" name="材料名"/>
    <tableColumn id="4" name="厂商"/>
    <tableColumn id="5" name="厚度&#10;（mm）"/>
    <tableColumn id="6" name="宽度"/>
    <tableColumn id="7" name="长度（M）"/>
    <tableColumn id="8" name="原材料单价"/>
    <tableColumn id="9" name="原材料价格（整支）"/>
    <tableColumn id="10" name="单价&#10;（不含税）"/>
    <tableColumn id="11" name="联络方式"/>
    <tableColumn id="12" name="列1"/>
    <tableColumn id="13" name="列2"/>
    <tableColumn id="14" name="备注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table" Target="../tables/table1.xml"/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2"/>
  </sheetPr>
  <dimension ref="B1:O236"/>
  <sheetViews>
    <sheetView tabSelected="1" zoomScale="70" zoomScaleNormal="70" workbookViewId="0">
      <pane ySplit="1" topLeftCell="A14" activePane="bottomLeft" state="frozen"/>
      <selection/>
      <selection pane="bottomLeft" activeCell="J9" sqref="J9"/>
    </sheetView>
  </sheetViews>
  <sheetFormatPr defaultColWidth="9" defaultRowHeight="13.5"/>
  <cols>
    <col min="1" max="1" width="4.66371681415929" style="3" customWidth="1"/>
    <col min="2" max="2" width="6.7787610619469" style="3" customWidth="1"/>
    <col min="3" max="3" width="28.5575221238938" style="4" customWidth="1"/>
    <col min="4" max="4" width="55.4424778761062" style="4" customWidth="1"/>
    <col min="5" max="5" width="29.8849557522124" style="4" customWidth="1"/>
    <col min="6" max="6" width="12.2212389380531" style="5" customWidth="1"/>
    <col min="7" max="7" width="12.8849557522124" style="5" customWidth="1"/>
    <col min="8" max="8" width="10.3362831858407" style="5" customWidth="1"/>
    <col min="9" max="9" width="18.2212389380531" style="6" customWidth="1"/>
    <col min="10" max="10" width="30.1061946902655" style="5" customWidth="1"/>
    <col min="11" max="11" width="13.4424778761062" style="5" customWidth="1"/>
    <col min="12" max="12" width="11.6637168141593" style="4" customWidth="1"/>
    <col min="13" max="13" width="19.4424778761062" style="5" customWidth="1"/>
    <col min="14" max="14" width="36.8849557522124" style="3" customWidth="1"/>
    <col min="15" max="15" width="32.2212389380531" style="3" customWidth="1"/>
    <col min="16" max="16384" width="9" style="3"/>
  </cols>
  <sheetData>
    <row r="1" s="1" customFormat="1" ht="22.5" customHeight="1" spans="2:15">
      <c r="B1" s="7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</row>
    <row r="2" ht="24.9" customHeight="1" spans="2:15">
      <c r="B2" s="9">
        <v>1</v>
      </c>
      <c r="C2" s="10" t="s">
        <v>14</v>
      </c>
      <c r="D2" s="10" t="s">
        <v>15</v>
      </c>
      <c r="E2" s="10" t="s">
        <v>16</v>
      </c>
      <c r="F2" s="11"/>
      <c r="G2" s="11"/>
      <c r="H2" s="11">
        <v>50</v>
      </c>
      <c r="I2" s="12">
        <f>材料清单[[#This Row],[单价
（不含税）]]*1.13</f>
        <v>14.69</v>
      </c>
      <c r="J2" s="11"/>
      <c r="K2" s="11">
        <v>13</v>
      </c>
      <c r="L2" s="13"/>
      <c r="M2" s="13"/>
      <c r="N2" s="13"/>
      <c r="O2" s="13"/>
    </row>
    <row r="3" ht="24.9" customHeight="1" spans="2:15">
      <c r="B3" s="9">
        <v>2</v>
      </c>
      <c r="C3" s="10" t="s">
        <v>17</v>
      </c>
      <c r="D3" s="10" t="s">
        <v>18</v>
      </c>
      <c r="E3" s="10" t="s">
        <v>16</v>
      </c>
      <c r="F3" s="11"/>
      <c r="G3" s="11"/>
      <c r="H3" s="11"/>
      <c r="I3" s="12">
        <f>材料清单[[#This Row],[单价
（不含税）]]*1.13</f>
        <v>53.11</v>
      </c>
      <c r="J3" s="11"/>
      <c r="K3" s="11">
        <v>47</v>
      </c>
      <c r="L3" s="13"/>
      <c r="M3" s="13"/>
      <c r="N3" s="13"/>
      <c r="O3" s="13"/>
    </row>
    <row r="4" ht="24.9" customHeight="1" spans="2:15">
      <c r="B4" s="9">
        <v>3</v>
      </c>
      <c r="C4" s="10" t="s">
        <v>19</v>
      </c>
      <c r="D4" s="10" t="s">
        <v>20</v>
      </c>
      <c r="E4" s="10" t="s">
        <v>16</v>
      </c>
      <c r="F4" s="11"/>
      <c r="G4" s="11"/>
      <c r="H4" s="11"/>
      <c r="I4" s="12">
        <f>材料清单[[#This Row],[单价
（不含税）]]*1.13</f>
        <v>0.02034</v>
      </c>
      <c r="J4" s="14"/>
      <c r="K4" s="14">
        <v>0.018</v>
      </c>
      <c r="L4" s="13"/>
      <c r="M4" s="13"/>
      <c r="N4" s="13"/>
      <c r="O4" s="13"/>
    </row>
    <row r="5" ht="24.9" customHeight="1" spans="2:15">
      <c r="B5" s="9">
        <v>4</v>
      </c>
      <c r="C5" s="10" t="s">
        <v>19</v>
      </c>
      <c r="D5" s="10" t="s">
        <v>21</v>
      </c>
      <c r="E5" s="10" t="s">
        <v>16</v>
      </c>
      <c r="F5" s="11"/>
      <c r="G5" s="11"/>
      <c r="H5" s="11"/>
      <c r="I5" s="12">
        <f>材料清单[[#This Row],[单价
（不含税）]]*1.13</f>
        <v>0.02373</v>
      </c>
      <c r="J5" s="14"/>
      <c r="K5" s="14">
        <v>0.021</v>
      </c>
      <c r="L5" s="13"/>
      <c r="M5" s="13"/>
      <c r="N5" s="13"/>
      <c r="O5" s="13"/>
    </row>
    <row r="6" ht="24.9" customHeight="1" spans="2:15">
      <c r="B6" s="9">
        <v>5</v>
      </c>
      <c r="C6" s="10" t="s">
        <v>19</v>
      </c>
      <c r="D6" s="10" t="s">
        <v>22</v>
      </c>
      <c r="E6" s="10" t="s">
        <v>16</v>
      </c>
      <c r="F6" s="11"/>
      <c r="G6" s="11"/>
      <c r="H6" s="11"/>
      <c r="I6" s="12">
        <f>材料清单[[#This Row],[单价
（不含税）]]*1.13</f>
        <v>0.02712</v>
      </c>
      <c r="J6" s="14"/>
      <c r="K6" s="14">
        <v>0.024</v>
      </c>
      <c r="L6" s="13"/>
      <c r="M6" s="13"/>
      <c r="N6" s="13"/>
      <c r="O6" s="13"/>
    </row>
    <row r="7" ht="24.9" customHeight="1" spans="2:15">
      <c r="B7" s="9">
        <v>6</v>
      </c>
      <c r="C7" s="10" t="s">
        <v>23</v>
      </c>
      <c r="D7" s="10" t="s">
        <v>24</v>
      </c>
      <c r="E7" s="10" t="s">
        <v>16</v>
      </c>
      <c r="F7" s="11"/>
      <c r="G7" s="11"/>
      <c r="H7" s="11"/>
      <c r="I7" s="12">
        <f>材料清单[[#This Row],[单价
（不含税）]]*1.13</f>
        <v>84.75</v>
      </c>
      <c r="J7" s="11"/>
      <c r="K7" s="11">
        <v>75</v>
      </c>
      <c r="L7" s="13"/>
      <c r="M7" s="13"/>
      <c r="N7" s="13"/>
      <c r="O7" s="13"/>
    </row>
    <row r="8" ht="24.9" customHeight="1" spans="2:15">
      <c r="B8" s="9">
        <v>7</v>
      </c>
      <c r="C8" s="10" t="s">
        <v>25</v>
      </c>
      <c r="D8" s="10" t="s">
        <v>26</v>
      </c>
      <c r="E8" s="10" t="s">
        <v>16</v>
      </c>
      <c r="F8" s="11">
        <v>0.1</v>
      </c>
      <c r="G8" s="11">
        <v>1000</v>
      </c>
      <c r="H8" s="11">
        <v>100</v>
      </c>
      <c r="I8" s="12">
        <f>材料清单[[#This Row],[单价
（不含税）]]*1.13</f>
        <v>35.03</v>
      </c>
      <c r="J8" s="11"/>
      <c r="K8" s="11">
        <v>31</v>
      </c>
      <c r="L8" s="13"/>
      <c r="M8" s="13"/>
      <c r="N8" s="13"/>
      <c r="O8" s="13"/>
    </row>
    <row r="9" ht="24.9" customHeight="1" spans="2:15">
      <c r="B9" s="9">
        <v>8</v>
      </c>
      <c r="C9" s="10" t="s">
        <v>27</v>
      </c>
      <c r="D9" s="10" t="s">
        <v>28</v>
      </c>
      <c r="E9" s="10" t="s">
        <v>16</v>
      </c>
      <c r="F9" s="11"/>
      <c r="G9" s="11"/>
      <c r="H9" s="11"/>
      <c r="I9" s="12">
        <f>材料清单[[#This Row],[单价
（不含税）]]*1.13</f>
        <v>0.1356</v>
      </c>
      <c r="J9" s="11"/>
      <c r="K9" s="11">
        <v>0.12</v>
      </c>
      <c r="L9" s="13"/>
      <c r="M9" s="13"/>
      <c r="N9" s="13"/>
      <c r="O9" s="13"/>
    </row>
    <row r="10" ht="24.9" customHeight="1" spans="2:15">
      <c r="B10" s="9">
        <v>9</v>
      </c>
      <c r="C10" s="10" t="s">
        <v>29</v>
      </c>
      <c r="D10" s="10" t="s">
        <v>30</v>
      </c>
      <c r="E10" s="10" t="s">
        <v>31</v>
      </c>
      <c r="F10" s="11"/>
      <c r="G10" s="11">
        <v>1020</v>
      </c>
      <c r="H10" s="11">
        <v>100</v>
      </c>
      <c r="I10" s="12">
        <v>5.6</v>
      </c>
      <c r="J10" s="11"/>
      <c r="K10" s="11"/>
      <c r="L10" s="13"/>
      <c r="M10" s="13"/>
      <c r="N10" s="13"/>
      <c r="O10" s="13"/>
    </row>
    <row r="11" ht="24.9" customHeight="1" spans="2:15">
      <c r="B11" s="9">
        <v>10</v>
      </c>
      <c r="C11" s="10" t="s">
        <v>32</v>
      </c>
      <c r="D11" s="10" t="s">
        <v>33</v>
      </c>
      <c r="E11" s="10" t="s">
        <v>31</v>
      </c>
      <c r="F11" s="11">
        <v>0.1</v>
      </c>
      <c r="G11" s="11">
        <v>1090</v>
      </c>
      <c r="H11" s="11">
        <v>50</v>
      </c>
      <c r="I11" s="11">
        <v>3.2</v>
      </c>
      <c r="J11" s="11"/>
      <c r="K11" s="11"/>
      <c r="L11" s="13"/>
      <c r="M11" s="13"/>
      <c r="N11" s="13"/>
      <c r="O11" s="13"/>
    </row>
    <row r="12" ht="24.9" customHeight="1" spans="2:15">
      <c r="B12" s="9">
        <v>11</v>
      </c>
      <c r="C12" s="10" t="s">
        <v>34</v>
      </c>
      <c r="D12" s="10" t="s">
        <v>35</v>
      </c>
      <c r="E12" s="10" t="s">
        <v>36</v>
      </c>
      <c r="F12" s="11">
        <v>0.15</v>
      </c>
      <c r="G12" s="11">
        <v>960</v>
      </c>
      <c r="H12" s="11">
        <v>100</v>
      </c>
      <c r="I12" s="11">
        <v>204</v>
      </c>
      <c r="J12" s="11"/>
      <c r="K12" s="11"/>
      <c r="L12" s="13"/>
      <c r="M12" s="13"/>
      <c r="N12" s="13"/>
      <c r="O12" s="13"/>
    </row>
    <row r="13" ht="24.9" customHeight="1" spans="2:15">
      <c r="B13" s="9">
        <v>12</v>
      </c>
      <c r="C13" s="10" t="s">
        <v>34</v>
      </c>
      <c r="D13" s="10" t="s">
        <v>37</v>
      </c>
      <c r="E13" s="10" t="s">
        <v>36</v>
      </c>
      <c r="F13" s="11">
        <v>0.4</v>
      </c>
      <c r="G13" s="11"/>
      <c r="H13" s="11"/>
      <c r="I13" s="11"/>
      <c r="J13" s="11"/>
      <c r="K13" s="11">
        <v>183</v>
      </c>
      <c r="L13" s="13"/>
      <c r="M13" s="13"/>
      <c r="N13" s="13"/>
      <c r="O13" s="13"/>
    </row>
    <row r="14" ht="24.9" customHeight="1" spans="2:15">
      <c r="B14" s="9">
        <v>13</v>
      </c>
      <c r="C14" s="10" t="s">
        <v>34</v>
      </c>
      <c r="D14" s="10" t="s">
        <v>38</v>
      </c>
      <c r="E14" s="10" t="s">
        <v>36</v>
      </c>
      <c r="F14" s="11">
        <v>0.2</v>
      </c>
      <c r="G14" s="11"/>
      <c r="H14" s="11"/>
      <c r="I14" s="11"/>
      <c r="J14" s="11"/>
      <c r="K14" s="11"/>
      <c r="L14" s="13"/>
      <c r="M14" s="13"/>
      <c r="N14" s="13"/>
      <c r="O14" s="13"/>
    </row>
    <row r="15" ht="24.9" customHeight="1" spans="2:15">
      <c r="B15" s="9">
        <v>14</v>
      </c>
      <c r="C15" s="10" t="s">
        <v>39</v>
      </c>
      <c r="D15" s="10" t="s">
        <v>40</v>
      </c>
      <c r="E15" s="10" t="s">
        <v>41</v>
      </c>
      <c r="F15" s="11"/>
      <c r="G15" s="11">
        <v>1000</v>
      </c>
      <c r="H15" s="11">
        <v>30</v>
      </c>
      <c r="I15" s="11"/>
      <c r="J15" s="11"/>
      <c r="K15" s="11"/>
      <c r="L15" s="13"/>
      <c r="M15" s="13"/>
      <c r="N15" s="13"/>
      <c r="O15" s="13"/>
    </row>
    <row r="16" ht="24.9" customHeight="1" spans="2:15">
      <c r="B16" s="9">
        <v>15</v>
      </c>
      <c r="C16" s="10" t="s">
        <v>42</v>
      </c>
      <c r="D16" s="10" t="s">
        <v>43</v>
      </c>
      <c r="E16" s="10" t="s">
        <v>44</v>
      </c>
      <c r="F16" s="11">
        <v>0.1</v>
      </c>
      <c r="G16" s="11">
        <v>1200</v>
      </c>
      <c r="H16" s="11" t="s">
        <v>45</v>
      </c>
      <c r="I16" s="11">
        <v>21</v>
      </c>
      <c r="J16" s="11"/>
      <c r="K16" s="11"/>
      <c r="L16" s="13" t="s">
        <v>46</v>
      </c>
      <c r="M16" s="13" t="s">
        <v>47</v>
      </c>
      <c r="N16" s="13"/>
      <c r="O16" s="13"/>
    </row>
    <row r="17" ht="24.9" customHeight="1" spans="2:15">
      <c r="B17" s="9">
        <v>16</v>
      </c>
      <c r="C17" s="10" t="s">
        <v>48</v>
      </c>
      <c r="D17" s="10" t="s">
        <v>49</v>
      </c>
      <c r="E17" s="10" t="s">
        <v>44</v>
      </c>
      <c r="F17" s="11">
        <v>0.15</v>
      </c>
      <c r="G17" s="11">
        <v>1200</v>
      </c>
      <c r="H17" s="11">
        <v>50</v>
      </c>
      <c r="I17" s="11">
        <v>26.3</v>
      </c>
      <c r="J17" s="11"/>
      <c r="K17" s="11"/>
      <c r="L17" s="13"/>
      <c r="M17" s="13"/>
      <c r="N17" s="13"/>
      <c r="O17" s="13"/>
    </row>
    <row r="18" ht="24.9" customHeight="1" spans="2:15">
      <c r="B18" s="9">
        <v>17</v>
      </c>
      <c r="C18" s="10" t="s">
        <v>48</v>
      </c>
      <c r="D18" s="10" t="s">
        <v>50</v>
      </c>
      <c r="E18" s="10" t="s">
        <v>44</v>
      </c>
      <c r="F18" s="11">
        <v>1.1</v>
      </c>
      <c r="G18" s="11">
        <v>610</v>
      </c>
      <c r="H18" s="11">
        <v>33</v>
      </c>
      <c r="I18" s="11">
        <v>234.8</v>
      </c>
      <c r="J18" s="11"/>
      <c r="K18" s="11"/>
      <c r="L18" s="13"/>
      <c r="M18" s="13"/>
      <c r="N18" s="13"/>
      <c r="O18" s="13"/>
    </row>
    <row r="19" ht="24.9" customHeight="1" spans="2:15">
      <c r="B19" s="9">
        <v>18</v>
      </c>
      <c r="C19" s="10" t="s">
        <v>48</v>
      </c>
      <c r="D19" s="10" t="s">
        <v>51</v>
      </c>
      <c r="E19" s="10" t="s">
        <v>44</v>
      </c>
      <c r="F19" s="11"/>
      <c r="G19" s="11"/>
      <c r="H19" s="11"/>
      <c r="I19" s="11">
        <v>56</v>
      </c>
      <c r="J19" s="11"/>
      <c r="K19" s="11"/>
      <c r="L19" s="13"/>
      <c r="M19" s="13"/>
      <c r="N19" s="13"/>
      <c r="O19" s="13"/>
    </row>
    <row r="20" ht="24.9" customHeight="1" spans="2:15">
      <c r="B20" s="9">
        <v>19</v>
      </c>
      <c r="C20" s="10" t="s">
        <v>48</v>
      </c>
      <c r="D20" s="10" t="s">
        <v>52</v>
      </c>
      <c r="E20" s="10" t="s">
        <v>44</v>
      </c>
      <c r="F20" s="11">
        <v>0.23</v>
      </c>
      <c r="G20" s="11">
        <v>584</v>
      </c>
      <c r="H20" s="11">
        <v>66</v>
      </c>
      <c r="I20" s="12">
        <f>6500/G20/66*1000</f>
        <v>168.638439186384</v>
      </c>
      <c r="J20" s="11"/>
      <c r="K20" s="11"/>
      <c r="L20" s="13"/>
      <c r="M20" s="13"/>
      <c r="N20" s="13"/>
      <c r="O20" s="13"/>
    </row>
    <row r="21" ht="24.9" customHeight="1" spans="2:15">
      <c r="B21" s="9">
        <v>20</v>
      </c>
      <c r="C21" s="10" t="s">
        <v>48</v>
      </c>
      <c r="D21" s="10" t="s">
        <v>53</v>
      </c>
      <c r="E21" s="10" t="s">
        <v>44</v>
      </c>
      <c r="F21" s="11">
        <v>0.3</v>
      </c>
      <c r="G21" s="11">
        <v>610</v>
      </c>
      <c r="H21" s="11">
        <v>33</v>
      </c>
      <c r="I21" s="12">
        <f>7500/G21/H21*1000</f>
        <v>372.5782414307</v>
      </c>
      <c r="J21" s="11"/>
      <c r="K21" s="11"/>
      <c r="L21" s="13"/>
      <c r="M21" s="13"/>
      <c r="N21" s="13"/>
      <c r="O21" s="13"/>
    </row>
    <row r="22" ht="24.9" customHeight="1" spans="2:15">
      <c r="B22" s="9">
        <v>21</v>
      </c>
      <c r="C22" s="10" t="s">
        <v>54</v>
      </c>
      <c r="D22" s="10" t="s">
        <v>55</v>
      </c>
      <c r="E22" s="10" t="s">
        <v>56</v>
      </c>
      <c r="F22" s="11"/>
      <c r="G22" s="11"/>
      <c r="H22" s="11"/>
      <c r="I22" s="11"/>
      <c r="J22" s="15"/>
      <c r="K22" s="15">
        <v>28</v>
      </c>
      <c r="L22" s="13"/>
      <c r="M22" s="13"/>
      <c r="N22" s="13"/>
      <c r="O22" s="13"/>
    </row>
    <row r="23" ht="24.9" customHeight="1" spans="2:15">
      <c r="B23" s="9">
        <v>22</v>
      </c>
      <c r="C23" s="10" t="s">
        <v>57</v>
      </c>
      <c r="D23" s="10" t="s">
        <v>58</v>
      </c>
      <c r="E23" s="10" t="s">
        <v>59</v>
      </c>
      <c r="F23" s="11">
        <v>0.06</v>
      </c>
      <c r="G23" s="11">
        <v>1070</v>
      </c>
      <c r="H23" s="11">
        <v>100</v>
      </c>
      <c r="I23" s="11"/>
      <c r="J23" s="11"/>
      <c r="K23" s="11">
        <v>37</v>
      </c>
      <c r="L23" s="13" t="s">
        <v>60</v>
      </c>
      <c r="M23" s="13">
        <v>13544083086</v>
      </c>
      <c r="N23" s="13"/>
      <c r="O23" s="13"/>
    </row>
    <row r="24" ht="24.9" customHeight="1" spans="2:15">
      <c r="B24" s="9">
        <v>23</v>
      </c>
      <c r="C24" s="10" t="s">
        <v>61</v>
      </c>
      <c r="D24" s="10" t="s">
        <v>62</v>
      </c>
      <c r="E24" s="10" t="s">
        <v>63</v>
      </c>
      <c r="F24" s="11">
        <v>0.1</v>
      </c>
      <c r="G24" s="11">
        <v>980</v>
      </c>
      <c r="H24" s="11">
        <v>50</v>
      </c>
      <c r="I24" s="11">
        <v>180</v>
      </c>
      <c r="J24" s="11"/>
      <c r="K24" s="11"/>
      <c r="L24" s="13" t="s">
        <v>64</v>
      </c>
      <c r="M24" s="13">
        <v>18922801795</v>
      </c>
      <c r="N24" s="13"/>
      <c r="O24" s="13"/>
    </row>
    <row r="25" ht="24.9" customHeight="1" spans="2:15">
      <c r="B25" s="9">
        <v>24</v>
      </c>
      <c r="C25" s="10" t="s">
        <v>65</v>
      </c>
      <c r="D25" s="10" t="s">
        <v>66</v>
      </c>
      <c r="E25" s="10" t="s">
        <v>67</v>
      </c>
      <c r="F25" s="11">
        <v>0.06</v>
      </c>
      <c r="G25" s="11">
        <v>1200</v>
      </c>
      <c r="H25" s="11">
        <v>200</v>
      </c>
      <c r="I25" s="16" t="s">
        <v>68</v>
      </c>
      <c r="J25" s="11"/>
      <c r="K25" s="11"/>
      <c r="L25" s="13" t="s">
        <v>69</v>
      </c>
      <c r="M25" s="13">
        <v>13788366628</v>
      </c>
      <c r="N25" s="13"/>
      <c r="O25" s="13"/>
    </row>
    <row r="26" ht="24.9" customHeight="1" spans="2:15">
      <c r="B26" s="9">
        <v>25</v>
      </c>
      <c r="C26" s="10" t="s">
        <v>70</v>
      </c>
      <c r="D26" s="10" t="s">
        <v>71</v>
      </c>
      <c r="E26" s="10" t="s">
        <v>67</v>
      </c>
      <c r="F26" s="11">
        <v>0.5</v>
      </c>
      <c r="G26" s="11">
        <v>1050</v>
      </c>
      <c r="H26" s="11">
        <v>50</v>
      </c>
      <c r="I26" s="11">
        <v>38</v>
      </c>
      <c r="J26" s="11"/>
      <c r="K26" s="11"/>
      <c r="L26" s="13"/>
      <c r="M26" s="13"/>
      <c r="N26" s="13"/>
      <c r="O26" s="13"/>
    </row>
    <row r="27" ht="24.9" customHeight="1" spans="2:15">
      <c r="B27" s="9">
        <v>26</v>
      </c>
      <c r="C27" s="10" t="s">
        <v>29</v>
      </c>
      <c r="D27" s="10" t="s">
        <v>72</v>
      </c>
      <c r="E27" s="10" t="s">
        <v>73</v>
      </c>
      <c r="F27" s="11"/>
      <c r="G27" s="11">
        <v>1240</v>
      </c>
      <c r="H27" s="11">
        <v>100</v>
      </c>
      <c r="I27" s="11"/>
      <c r="J27" s="11"/>
      <c r="K27" s="11"/>
      <c r="L27" s="13"/>
      <c r="M27" s="13"/>
      <c r="N27" s="13"/>
      <c r="O27" s="13"/>
    </row>
    <row r="28" ht="24.9" customHeight="1" spans="2:15">
      <c r="B28" s="9">
        <v>27</v>
      </c>
      <c r="C28" s="10" t="s">
        <v>70</v>
      </c>
      <c r="D28" s="10" t="s">
        <v>74</v>
      </c>
      <c r="E28" s="10" t="s">
        <v>73</v>
      </c>
      <c r="F28" s="11"/>
      <c r="G28" s="11">
        <v>980</v>
      </c>
      <c r="H28" s="11">
        <v>50</v>
      </c>
      <c r="I28" s="11">
        <v>193</v>
      </c>
      <c r="J28" s="11"/>
      <c r="K28" s="11"/>
      <c r="L28" s="13"/>
      <c r="M28" s="13"/>
      <c r="N28" s="13" t="s">
        <v>75</v>
      </c>
      <c r="O28" s="13"/>
    </row>
    <row r="29" ht="24.9" customHeight="1" spans="2:15">
      <c r="B29" s="9">
        <v>28</v>
      </c>
      <c r="C29" s="10" t="s">
        <v>76</v>
      </c>
      <c r="D29" s="10" t="s">
        <v>77</v>
      </c>
      <c r="E29" s="10" t="s">
        <v>73</v>
      </c>
      <c r="F29" s="11"/>
      <c r="G29" s="11">
        <v>1240</v>
      </c>
      <c r="H29" s="11">
        <v>50</v>
      </c>
      <c r="I29" s="11"/>
      <c r="J29" s="11"/>
      <c r="K29" s="11"/>
      <c r="L29" s="13"/>
      <c r="M29" s="13"/>
      <c r="N29" s="13"/>
      <c r="O29" s="13"/>
    </row>
    <row r="30" ht="24.9" customHeight="1" spans="2:15">
      <c r="B30" s="9">
        <v>29</v>
      </c>
      <c r="C30" s="10" t="s">
        <v>78</v>
      </c>
      <c r="D30" s="10" t="s">
        <v>79</v>
      </c>
      <c r="E30" s="10" t="s">
        <v>80</v>
      </c>
      <c r="F30" s="11">
        <v>0.5</v>
      </c>
      <c r="G30" s="11"/>
      <c r="H30" s="11"/>
      <c r="I30" s="11"/>
      <c r="J30" s="11"/>
      <c r="K30" s="11">
        <v>36</v>
      </c>
      <c r="L30" s="13"/>
      <c r="M30" s="13"/>
      <c r="N30" s="13"/>
      <c r="O30" s="13"/>
    </row>
    <row r="31" ht="24.9" customHeight="1" spans="2:15">
      <c r="B31" s="9">
        <v>30</v>
      </c>
      <c r="C31" s="10" t="s">
        <v>78</v>
      </c>
      <c r="D31" s="10" t="s">
        <v>81</v>
      </c>
      <c r="E31" s="10" t="s">
        <v>80</v>
      </c>
      <c r="F31" s="11">
        <v>0.3</v>
      </c>
      <c r="G31" s="11"/>
      <c r="H31" s="11"/>
      <c r="I31" s="11"/>
      <c r="J31" s="11"/>
      <c r="K31" s="11">
        <v>40</v>
      </c>
      <c r="L31" s="13"/>
      <c r="M31" s="13"/>
      <c r="N31" s="13"/>
      <c r="O31" s="13"/>
    </row>
    <row r="32" ht="24.9" customHeight="1" spans="2:15">
      <c r="B32" s="9">
        <v>31</v>
      </c>
      <c r="C32" s="10" t="s">
        <v>78</v>
      </c>
      <c r="D32" s="10" t="s">
        <v>82</v>
      </c>
      <c r="E32" s="10" t="s">
        <v>80</v>
      </c>
      <c r="F32" s="11">
        <v>0.15</v>
      </c>
      <c r="G32" s="11">
        <v>520</v>
      </c>
      <c r="H32" s="11">
        <v>100</v>
      </c>
      <c r="I32" s="11">
        <v>60</v>
      </c>
      <c r="J32" s="11"/>
      <c r="K32" s="11">
        <v>70</v>
      </c>
      <c r="L32" s="13"/>
      <c r="M32" s="13"/>
      <c r="N32" s="13"/>
      <c r="O32" s="13"/>
    </row>
    <row r="33" ht="24.9" customHeight="1" spans="2:15">
      <c r="B33" s="9">
        <v>32</v>
      </c>
      <c r="C33" s="10" t="s">
        <v>83</v>
      </c>
      <c r="D33" s="10" t="s">
        <v>84</v>
      </c>
      <c r="E33" s="10" t="s">
        <v>85</v>
      </c>
      <c r="F33" s="11"/>
      <c r="G33" s="11">
        <v>940</v>
      </c>
      <c r="H33" s="11">
        <v>100</v>
      </c>
      <c r="I33" s="11"/>
      <c r="J33" s="11"/>
      <c r="K33" s="11"/>
      <c r="L33" s="13"/>
      <c r="M33" s="13"/>
      <c r="N33" s="13"/>
      <c r="O33" s="13"/>
    </row>
    <row r="34" ht="24.9" customHeight="1" spans="2:15">
      <c r="B34" s="9">
        <v>33</v>
      </c>
      <c r="C34" s="10" t="s">
        <v>83</v>
      </c>
      <c r="D34" s="10" t="s">
        <v>86</v>
      </c>
      <c r="E34" s="10" t="s">
        <v>85</v>
      </c>
      <c r="F34" s="11"/>
      <c r="G34" s="11">
        <v>1250</v>
      </c>
      <c r="H34" s="11">
        <v>100</v>
      </c>
      <c r="I34" s="11">
        <v>36.2</v>
      </c>
      <c r="J34" s="11"/>
      <c r="K34" s="11"/>
      <c r="L34" s="13" t="s">
        <v>87</v>
      </c>
      <c r="M34" s="13">
        <v>18166048755</v>
      </c>
      <c r="N34" s="13"/>
      <c r="O34" s="13"/>
    </row>
    <row r="35" ht="24.9" customHeight="1" spans="2:15">
      <c r="B35" s="9">
        <v>34</v>
      </c>
      <c r="C35" s="10" t="s">
        <v>83</v>
      </c>
      <c r="D35" s="10" t="s">
        <v>88</v>
      </c>
      <c r="E35" s="10" t="s">
        <v>85</v>
      </c>
      <c r="F35" s="11"/>
      <c r="G35" s="11">
        <v>1240</v>
      </c>
      <c r="H35" s="11">
        <v>50</v>
      </c>
      <c r="I35" s="11">
        <v>16</v>
      </c>
      <c r="J35" s="11"/>
      <c r="K35" s="11"/>
      <c r="L35" s="13" t="s">
        <v>87</v>
      </c>
      <c r="M35" s="13">
        <v>18166048755</v>
      </c>
      <c r="N35" s="13"/>
      <c r="O35" s="13"/>
    </row>
    <row r="36" ht="24.9" customHeight="1" spans="2:15">
      <c r="B36" s="9">
        <v>35</v>
      </c>
      <c r="C36" s="10" t="s">
        <v>89</v>
      </c>
      <c r="D36" s="10" t="s">
        <v>90</v>
      </c>
      <c r="E36" s="10" t="s">
        <v>91</v>
      </c>
      <c r="F36" s="11"/>
      <c r="G36" s="11">
        <v>800</v>
      </c>
      <c r="H36" s="11">
        <v>50</v>
      </c>
      <c r="I36" s="11"/>
      <c r="J36" s="11"/>
      <c r="K36" s="11"/>
      <c r="L36" s="13"/>
      <c r="M36" s="13"/>
      <c r="N36" s="13"/>
      <c r="O36" s="13"/>
    </row>
    <row r="37" ht="24.9" customHeight="1" spans="2:15">
      <c r="B37" s="9">
        <v>36</v>
      </c>
      <c r="C37" s="10" t="s">
        <v>89</v>
      </c>
      <c r="D37" s="10" t="s">
        <v>92</v>
      </c>
      <c r="E37" s="10" t="s">
        <v>91</v>
      </c>
      <c r="F37" s="11"/>
      <c r="G37" s="11">
        <v>98</v>
      </c>
      <c r="H37" s="11">
        <v>50</v>
      </c>
      <c r="I37" s="11"/>
      <c r="J37" s="11"/>
      <c r="K37" s="11"/>
      <c r="L37" s="13"/>
      <c r="M37" s="13"/>
      <c r="N37" s="13"/>
      <c r="O37" s="13"/>
    </row>
    <row r="38" ht="24.9" customHeight="1" spans="2:15">
      <c r="B38" s="9">
        <v>37</v>
      </c>
      <c r="C38" s="10" t="s">
        <v>89</v>
      </c>
      <c r="D38" s="10" t="s">
        <v>93</v>
      </c>
      <c r="E38" s="10" t="s">
        <v>91</v>
      </c>
      <c r="F38" s="11"/>
      <c r="G38" s="11"/>
      <c r="H38" s="11"/>
      <c r="I38" s="11"/>
      <c r="J38" s="11"/>
      <c r="K38" s="11">
        <v>230</v>
      </c>
      <c r="L38" s="13"/>
      <c r="M38" s="13"/>
      <c r="N38" s="13"/>
      <c r="O38" s="13"/>
    </row>
    <row r="39" ht="24.9" customHeight="1" spans="2:15">
      <c r="B39" s="9">
        <v>38</v>
      </c>
      <c r="C39" s="10" t="s">
        <v>89</v>
      </c>
      <c r="D39" s="10" t="s">
        <v>94</v>
      </c>
      <c r="E39" s="10" t="s">
        <v>91</v>
      </c>
      <c r="F39" s="11"/>
      <c r="G39" s="11"/>
      <c r="H39" s="11"/>
      <c r="I39" s="11"/>
      <c r="J39" s="11"/>
      <c r="K39" s="11">
        <v>28</v>
      </c>
      <c r="L39" s="13"/>
      <c r="M39" s="13"/>
      <c r="N39" s="13"/>
      <c r="O39" s="13"/>
    </row>
    <row r="40" ht="24.9" customHeight="1" spans="2:15">
      <c r="B40" s="9">
        <v>39</v>
      </c>
      <c r="C40" s="10" t="s">
        <v>89</v>
      </c>
      <c r="D40" s="10" t="s">
        <v>95</v>
      </c>
      <c r="E40" s="10" t="s">
        <v>91</v>
      </c>
      <c r="F40" s="11"/>
      <c r="G40" s="11">
        <v>900</v>
      </c>
      <c r="H40" s="11">
        <v>10</v>
      </c>
      <c r="I40" s="11"/>
      <c r="J40" s="11"/>
      <c r="K40" s="11">
        <v>37</v>
      </c>
      <c r="L40" s="13"/>
      <c r="M40" s="13"/>
      <c r="N40" s="13"/>
      <c r="O40" s="13"/>
    </row>
    <row r="41" ht="24.9" customHeight="1" spans="2:15">
      <c r="B41" s="9">
        <v>40</v>
      </c>
      <c r="C41" s="10" t="s">
        <v>96</v>
      </c>
      <c r="D41" s="10" t="s">
        <v>97</v>
      </c>
      <c r="E41" s="10" t="s">
        <v>98</v>
      </c>
      <c r="F41" s="11">
        <v>0.113</v>
      </c>
      <c r="G41" s="11" t="s">
        <v>99</v>
      </c>
      <c r="H41" s="11">
        <v>200</v>
      </c>
      <c r="I41" s="11">
        <v>37</v>
      </c>
      <c r="J41" s="11"/>
      <c r="K41" s="11"/>
      <c r="L41" s="13"/>
      <c r="M41" s="13"/>
      <c r="N41" s="13"/>
      <c r="O41" s="13"/>
    </row>
    <row r="42" ht="24.9" customHeight="1" spans="2:15">
      <c r="B42" s="9">
        <v>41</v>
      </c>
      <c r="C42" s="10" t="s">
        <v>100</v>
      </c>
      <c r="D42" s="10" t="s">
        <v>101</v>
      </c>
      <c r="E42" s="10" t="s">
        <v>98</v>
      </c>
      <c r="F42" s="11">
        <v>0.05</v>
      </c>
      <c r="G42" s="11">
        <v>1240</v>
      </c>
      <c r="H42" s="11">
        <v>100</v>
      </c>
      <c r="I42" s="11">
        <v>6.8</v>
      </c>
      <c r="J42" s="11"/>
      <c r="K42" s="11"/>
      <c r="L42" s="13" t="s">
        <v>102</v>
      </c>
      <c r="M42" s="13">
        <v>13826942872</v>
      </c>
      <c r="N42" s="13"/>
      <c r="O42" s="13"/>
    </row>
    <row r="43" ht="24.9" customHeight="1" spans="2:15">
      <c r="B43" s="9">
        <v>42</v>
      </c>
      <c r="C43" s="10" t="s">
        <v>100</v>
      </c>
      <c r="D43" s="10" t="s">
        <v>103</v>
      </c>
      <c r="E43" s="10" t="s">
        <v>98</v>
      </c>
      <c r="F43" s="11"/>
      <c r="G43" s="11">
        <v>1240</v>
      </c>
      <c r="H43" s="11">
        <v>100</v>
      </c>
      <c r="I43" s="11">
        <v>10.8</v>
      </c>
      <c r="J43" s="11"/>
      <c r="K43" s="11"/>
      <c r="L43" s="13" t="s">
        <v>102</v>
      </c>
      <c r="M43" s="13">
        <v>13826942872</v>
      </c>
      <c r="N43" s="13"/>
      <c r="O43" s="13"/>
    </row>
    <row r="44" ht="24.9" customHeight="1" spans="2:15">
      <c r="B44" s="9">
        <v>43</v>
      </c>
      <c r="C44" s="10" t="s">
        <v>100</v>
      </c>
      <c r="D44" s="10" t="s">
        <v>104</v>
      </c>
      <c r="E44" s="10" t="s">
        <v>98</v>
      </c>
      <c r="F44" s="11">
        <v>0.1</v>
      </c>
      <c r="G44" s="11">
        <v>1240</v>
      </c>
      <c r="H44" s="11">
        <v>100</v>
      </c>
      <c r="I44" s="11">
        <v>12.5</v>
      </c>
      <c r="J44" s="11"/>
      <c r="K44" s="11"/>
      <c r="L44" s="13" t="s">
        <v>102</v>
      </c>
      <c r="M44" s="13">
        <v>13826942872</v>
      </c>
      <c r="N44" s="13"/>
      <c r="O44" s="13" t="s">
        <v>105</v>
      </c>
    </row>
    <row r="45" ht="24.9" customHeight="1" spans="2:15">
      <c r="B45" s="9">
        <v>44</v>
      </c>
      <c r="C45" s="10" t="s">
        <v>100</v>
      </c>
      <c r="D45" s="10" t="s">
        <v>106</v>
      </c>
      <c r="E45" s="10" t="s">
        <v>98</v>
      </c>
      <c r="F45" s="11"/>
      <c r="G45" s="11">
        <v>1020</v>
      </c>
      <c r="H45" s="11">
        <v>100</v>
      </c>
      <c r="I45" s="11">
        <v>13</v>
      </c>
      <c r="J45" s="11"/>
      <c r="K45" s="11"/>
      <c r="L45" s="13" t="s">
        <v>102</v>
      </c>
      <c r="M45" s="13">
        <v>13826942872</v>
      </c>
      <c r="N45" s="13"/>
      <c r="O45" s="13"/>
    </row>
    <row r="46" ht="24.9" customHeight="1" spans="2:15">
      <c r="B46" s="9">
        <v>45</v>
      </c>
      <c r="C46" s="10" t="s">
        <v>100</v>
      </c>
      <c r="D46" s="10" t="s">
        <v>107</v>
      </c>
      <c r="E46" s="10" t="s">
        <v>98</v>
      </c>
      <c r="F46" s="11">
        <v>0.03</v>
      </c>
      <c r="G46" s="11">
        <v>1240</v>
      </c>
      <c r="H46" s="11">
        <v>50</v>
      </c>
      <c r="I46" s="11">
        <v>8.5</v>
      </c>
      <c r="J46" s="11"/>
      <c r="K46" s="11"/>
      <c r="L46" s="13"/>
      <c r="M46" s="13"/>
      <c r="N46" s="13"/>
      <c r="O46" s="13"/>
    </row>
    <row r="47" ht="24.9" customHeight="1" spans="2:15">
      <c r="B47" s="9">
        <v>46</v>
      </c>
      <c r="C47" s="10" t="s">
        <v>100</v>
      </c>
      <c r="D47" s="10" t="s">
        <v>108</v>
      </c>
      <c r="E47" s="10" t="s">
        <v>98</v>
      </c>
      <c r="F47" s="11">
        <v>0.15</v>
      </c>
      <c r="G47" s="11">
        <v>1240</v>
      </c>
      <c r="H47" s="11">
        <v>100</v>
      </c>
      <c r="I47" s="11">
        <v>17</v>
      </c>
      <c r="J47" s="11"/>
      <c r="K47" s="11"/>
      <c r="L47" s="13"/>
      <c r="M47" s="13"/>
      <c r="N47" s="13"/>
      <c r="O47" s="13"/>
    </row>
    <row r="48" ht="24.9" customHeight="1" spans="2:15">
      <c r="B48" s="9">
        <v>47</v>
      </c>
      <c r="C48" s="10" t="s">
        <v>100</v>
      </c>
      <c r="D48" s="10" t="s">
        <v>109</v>
      </c>
      <c r="E48" s="10" t="s">
        <v>98</v>
      </c>
      <c r="F48" s="11">
        <v>0.01</v>
      </c>
      <c r="G48" s="11">
        <v>1020</v>
      </c>
      <c r="H48" s="11">
        <v>200</v>
      </c>
      <c r="I48" s="11"/>
      <c r="J48" s="11"/>
      <c r="K48" s="11"/>
      <c r="L48" s="13"/>
      <c r="M48" s="13"/>
      <c r="N48" s="13"/>
      <c r="O48" s="13"/>
    </row>
    <row r="49" ht="24.9" customHeight="1" spans="2:15">
      <c r="B49" s="9">
        <v>48</v>
      </c>
      <c r="C49" s="10" t="s">
        <v>100</v>
      </c>
      <c r="D49" s="10" t="s">
        <v>110</v>
      </c>
      <c r="E49" s="10" t="s">
        <v>98</v>
      </c>
      <c r="F49" s="11">
        <v>0.15</v>
      </c>
      <c r="G49" s="11">
        <v>1240</v>
      </c>
      <c r="H49" s="11">
        <v>200</v>
      </c>
      <c r="I49" s="11">
        <v>17</v>
      </c>
      <c r="J49" s="11"/>
      <c r="K49" s="11"/>
      <c r="L49" s="13"/>
      <c r="M49" s="13"/>
      <c r="N49" s="13"/>
      <c r="O49" s="13"/>
    </row>
    <row r="50" ht="24.9" customHeight="1" spans="2:15">
      <c r="B50" s="9">
        <v>49</v>
      </c>
      <c r="C50" s="10" t="s">
        <v>111</v>
      </c>
      <c r="D50" s="10" t="s">
        <v>112</v>
      </c>
      <c r="E50" s="10" t="s">
        <v>98</v>
      </c>
      <c r="F50" s="11"/>
      <c r="G50" s="11">
        <v>1160</v>
      </c>
      <c r="H50" s="11">
        <v>150</v>
      </c>
      <c r="I50" s="11">
        <v>25</v>
      </c>
      <c r="J50" s="11"/>
      <c r="K50" s="11"/>
      <c r="L50" s="13" t="s">
        <v>113</v>
      </c>
      <c r="M50" s="13">
        <v>18360852577</v>
      </c>
      <c r="N50" s="13"/>
      <c r="O50" s="13"/>
    </row>
    <row r="51" ht="24.9" customHeight="1" spans="2:15">
      <c r="B51" s="9">
        <v>50</v>
      </c>
      <c r="C51" s="10" t="s">
        <v>57</v>
      </c>
      <c r="D51" s="10" t="s">
        <v>114</v>
      </c>
      <c r="E51" s="10" t="s">
        <v>98</v>
      </c>
      <c r="F51" s="11">
        <v>0.08</v>
      </c>
      <c r="G51" s="11">
        <v>1020</v>
      </c>
      <c r="H51" s="11">
        <v>200</v>
      </c>
      <c r="I51" s="11"/>
      <c r="J51" s="11"/>
      <c r="K51" s="11"/>
      <c r="L51" s="13"/>
      <c r="M51" s="13"/>
      <c r="N51" s="13"/>
      <c r="O51" s="13"/>
    </row>
    <row r="52" ht="24.9" customHeight="1" spans="2:15">
      <c r="B52" s="9">
        <v>51</v>
      </c>
      <c r="C52" s="10" t="s">
        <v>115</v>
      </c>
      <c r="D52" s="10" t="s">
        <v>116</v>
      </c>
      <c r="E52" s="10" t="s">
        <v>117</v>
      </c>
      <c r="F52" s="11"/>
      <c r="G52" s="11">
        <v>1200</v>
      </c>
      <c r="H52" s="11">
        <v>25</v>
      </c>
      <c r="I52" s="11"/>
      <c r="J52" s="11"/>
      <c r="K52" s="11"/>
      <c r="L52" s="13"/>
      <c r="M52" s="13"/>
      <c r="N52" s="13"/>
      <c r="O52" s="13"/>
    </row>
    <row r="53" ht="24.9" customHeight="1" spans="2:15">
      <c r="B53" s="9">
        <v>52</v>
      </c>
      <c r="C53" s="10" t="s">
        <v>118</v>
      </c>
      <c r="D53" s="10" t="s">
        <v>119</v>
      </c>
      <c r="E53" s="10" t="s">
        <v>120</v>
      </c>
      <c r="F53" s="11"/>
      <c r="G53" s="11">
        <v>1090</v>
      </c>
      <c r="H53" s="11">
        <v>200</v>
      </c>
      <c r="I53" s="11">
        <v>3.4</v>
      </c>
      <c r="J53" s="11"/>
      <c r="K53" s="11"/>
      <c r="L53" s="13" t="s">
        <v>121</v>
      </c>
      <c r="M53" s="13">
        <v>13829112343</v>
      </c>
      <c r="N53" s="13" t="s">
        <v>122</v>
      </c>
      <c r="O53" s="13"/>
    </row>
    <row r="54" ht="24.9" customHeight="1" spans="2:15">
      <c r="B54" s="9">
        <v>53</v>
      </c>
      <c r="C54" s="10" t="s">
        <v>39</v>
      </c>
      <c r="D54" s="10" t="s">
        <v>123</v>
      </c>
      <c r="E54" s="10" t="s">
        <v>124</v>
      </c>
      <c r="F54" s="11">
        <v>2.5</v>
      </c>
      <c r="G54" s="11">
        <v>1000</v>
      </c>
      <c r="H54" s="11">
        <v>1</v>
      </c>
      <c r="I54" s="11"/>
      <c r="J54" s="15"/>
      <c r="K54" s="15" t="s">
        <v>125</v>
      </c>
      <c r="L54" s="13"/>
      <c r="M54" s="13"/>
      <c r="N54" s="13"/>
      <c r="O54" s="13"/>
    </row>
    <row r="55" ht="24.9" customHeight="1" spans="2:15">
      <c r="B55" s="9">
        <v>54</v>
      </c>
      <c r="C55" s="10" t="s">
        <v>39</v>
      </c>
      <c r="D55" s="10" t="s">
        <v>123</v>
      </c>
      <c r="E55" s="10" t="s">
        <v>124</v>
      </c>
      <c r="F55" s="11">
        <v>2</v>
      </c>
      <c r="G55" s="11">
        <v>1000</v>
      </c>
      <c r="H55" s="11">
        <v>1</v>
      </c>
      <c r="I55" s="11"/>
      <c r="J55" s="15"/>
      <c r="K55" s="15">
        <v>33</v>
      </c>
      <c r="L55" s="13"/>
      <c r="M55" s="13"/>
      <c r="N55" s="13"/>
      <c r="O55" s="13"/>
    </row>
    <row r="56" ht="24.9" customHeight="1" spans="2:15">
      <c r="B56" s="9">
        <v>55</v>
      </c>
      <c r="C56" s="10" t="s">
        <v>126</v>
      </c>
      <c r="D56" s="10" t="s">
        <v>127</v>
      </c>
      <c r="E56" s="10" t="s">
        <v>124</v>
      </c>
      <c r="F56" s="11">
        <v>1.7</v>
      </c>
      <c r="G56" s="11">
        <v>1000</v>
      </c>
      <c r="H56" s="11">
        <v>100</v>
      </c>
      <c r="I56" s="11"/>
      <c r="J56" s="11"/>
      <c r="K56" s="11">
        <v>3.1</v>
      </c>
      <c r="L56" s="13"/>
      <c r="M56" s="13"/>
      <c r="N56" s="13"/>
      <c r="O56" s="13"/>
    </row>
    <row r="57" ht="24.9" customHeight="1" spans="2:15">
      <c r="B57" s="9">
        <v>56</v>
      </c>
      <c r="C57" s="10" t="s">
        <v>128</v>
      </c>
      <c r="D57" s="10" t="s">
        <v>129</v>
      </c>
      <c r="E57" s="10" t="s">
        <v>130</v>
      </c>
      <c r="F57" s="11"/>
      <c r="G57" s="11">
        <v>1020</v>
      </c>
      <c r="H57" s="11">
        <v>50</v>
      </c>
      <c r="I57" s="11">
        <v>95</v>
      </c>
      <c r="J57" s="11"/>
      <c r="K57" s="11"/>
      <c r="L57" s="13"/>
      <c r="M57" s="13"/>
      <c r="N57" s="13"/>
      <c r="O57" s="13"/>
    </row>
    <row r="58" ht="24.9" customHeight="1" spans="2:15">
      <c r="B58" s="9">
        <v>57</v>
      </c>
      <c r="C58" s="10" t="s">
        <v>39</v>
      </c>
      <c r="D58" s="10" t="s">
        <v>131</v>
      </c>
      <c r="E58" s="10" t="s">
        <v>132</v>
      </c>
      <c r="F58" s="11"/>
      <c r="G58" s="11"/>
      <c r="H58" s="11"/>
      <c r="I58" s="11"/>
      <c r="J58" s="11"/>
      <c r="K58" s="11">
        <v>15.5</v>
      </c>
      <c r="L58" s="13" t="s">
        <v>133</v>
      </c>
      <c r="M58" s="13">
        <v>18929299833</v>
      </c>
      <c r="N58" s="13"/>
      <c r="O58" s="13"/>
    </row>
    <row r="59" ht="24.9" customHeight="1" spans="2:15">
      <c r="B59" s="9">
        <v>58</v>
      </c>
      <c r="C59" s="10" t="s">
        <v>78</v>
      </c>
      <c r="D59" s="10" t="s">
        <v>134</v>
      </c>
      <c r="E59" s="10" t="s">
        <v>135</v>
      </c>
      <c r="F59" s="11">
        <v>0.8</v>
      </c>
      <c r="G59" s="11">
        <v>660</v>
      </c>
      <c r="H59" s="11">
        <v>50</v>
      </c>
      <c r="I59" s="11"/>
      <c r="J59" s="11"/>
      <c r="K59" s="11">
        <v>110</v>
      </c>
      <c r="L59" s="13" t="s">
        <v>136</v>
      </c>
      <c r="M59" s="13">
        <v>13360519760</v>
      </c>
      <c r="N59" s="13"/>
      <c r="O59" s="13"/>
    </row>
    <row r="60" ht="24.9" customHeight="1" spans="2:15">
      <c r="B60" s="9">
        <v>59</v>
      </c>
      <c r="C60" s="10" t="s">
        <v>137</v>
      </c>
      <c r="D60" s="10" t="s">
        <v>138</v>
      </c>
      <c r="E60" s="10" t="s">
        <v>139</v>
      </c>
      <c r="F60" s="11"/>
      <c r="G60" s="11"/>
      <c r="H60" s="11">
        <v>1000</v>
      </c>
      <c r="I60" s="11">
        <v>2.1</v>
      </c>
      <c r="J60" s="11"/>
      <c r="K60" s="11"/>
      <c r="L60" s="13" t="s">
        <v>140</v>
      </c>
      <c r="M60" s="13">
        <v>13950385131</v>
      </c>
      <c r="N60" s="13" t="s">
        <v>141</v>
      </c>
      <c r="O60" s="13"/>
    </row>
    <row r="61" ht="24.9" customHeight="1" spans="2:15">
      <c r="B61" s="9">
        <v>60</v>
      </c>
      <c r="C61" s="10" t="s">
        <v>142</v>
      </c>
      <c r="D61" s="10" t="s">
        <v>143</v>
      </c>
      <c r="E61" s="10" t="s">
        <v>144</v>
      </c>
      <c r="F61" s="11">
        <v>0.1</v>
      </c>
      <c r="G61" s="11">
        <v>1020</v>
      </c>
      <c r="H61" s="11">
        <v>50</v>
      </c>
      <c r="I61" s="11">
        <v>7.3</v>
      </c>
      <c r="J61" s="11"/>
      <c r="K61" s="11"/>
      <c r="L61" s="13" t="s">
        <v>145</v>
      </c>
      <c r="M61" s="13"/>
      <c r="N61" s="13"/>
      <c r="O61" s="13"/>
    </row>
    <row r="62" ht="24.9" customHeight="1" spans="2:15">
      <c r="B62" s="9">
        <v>61</v>
      </c>
      <c r="C62" s="10" t="s">
        <v>142</v>
      </c>
      <c r="D62" s="10" t="s">
        <v>146</v>
      </c>
      <c r="E62" s="10" t="s">
        <v>144</v>
      </c>
      <c r="F62" s="11">
        <v>0.23</v>
      </c>
      <c r="G62" s="11">
        <v>980</v>
      </c>
      <c r="H62" s="11">
        <v>50</v>
      </c>
      <c r="I62" s="11">
        <v>13.5</v>
      </c>
      <c r="J62" s="11"/>
      <c r="K62" s="11"/>
      <c r="L62" s="13" t="s">
        <v>145</v>
      </c>
      <c r="M62" s="13"/>
      <c r="N62" s="13"/>
      <c r="O62" s="13"/>
    </row>
    <row r="63" ht="24.9" customHeight="1" spans="2:15">
      <c r="B63" s="9">
        <v>62</v>
      </c>
      <c r="C63" s="10" t="s">
        <v>142</v>
      </c>
      <c r="D63" s="10" t="s">
        <v>147</v>
      </c>
      <c r="E63" s="10" t="s">
        <v>144</v>
      </c>
      <c r="F63" s="11">
        <v>0.15</v>
      </c>
      <c r="G63" s="11">
        <v>1020</v>
      </c>
      <c r="H63" s="11">
        <v>50</v>
      </c>
      <c r="I63" s="11">
        <v>11</v>
      </c>
      <c r="J63" s="11"/>
      <c r="K63" s="11"/>
      <c r="L63" s="13" t="s">
        <v>145</v>
      </c>
      <c r="M63" s="13"/>
      <c r="N63" s="13"/>
      <c r="O63" s="13"/>
    </row>
    <row r="64" customFormat="1" ht="24.9" customHeight="1" spans="2:15">
      <c r="B64" s="9">
        <v>63</v>
      </c>
      <c r="C64" s="10" t="s">
        <v>148</v>
      </c>
      <c r="D64" s="10" t="s">
        <v>149</v>
      </c>
      <c r="E64" s="10" t="s">
        <v>150</v>
      </c>
      <c r="F64" s="11">
        <v>0.05</v>
      </c>
      <c r="G64" s="11">
        <v>1070</v>
      </c>
      <c r="H64" s="11">
        <v>200</v>
      </c>
      <c r="I64" s="11">
        <v>4.5</v>
      </c>
      <c r="J64" s="11"/>
      <c r="K64" s="11"/>
      <c r="L64" s="13" t="s">
        <v>151</v>
      </c>
      <c r="M64" s="13"/>
      <c r="N64" s="13"/>
      <c r="O64" s="13"/>
    </row>
    <row r="65" ht="24.9" customHeight="1" spans="2:15">
      <c r="B65" s="9">
        <v>64</v>
      </c>
      <c r="C65" s="10" t="s">
        <v>152</v>
      </c>
      <c r="D65" s="10" t="s">
        <v>153</v>
      </c>
      <c r="E65" s="10" t="s">
        <v>154</v>
      </c>
      <c r="F65" s="11"/>
      <c r="G65" s="11">
        <v>510</v>
      </c>
      <c r="H65" s="11">
        <v>400</v>
      </c>
      <c r="I65" s="11">
        <v>60</v>
      </c>
      <c r="J65" s="11"/>
      <c r="K65" s="11"/>
      <c r="L65" s="13" t="s">
        <v>155</v>
      </c>
      <c r="M65" s="13" t="s">
        <v>156</v>
      </c>
      <c r="N65" s="13" t="s">
        <v>157</v>
      </c>
      <c r="O65" s="13"/>
    </row>
    <row r="66" ht="24.9" customHeight="1" spans="2:15">
      <c r="B66" s="9">
        <v>65</v>
      </c>
      <c r="C66" s="10" t="s">
        <v>78</v>
      </c>
      <c r="D66" s="10" t="s">
        <v>158</v>
      </c>
      <c r="E66" s="10" t="s">
        <v>159</v>
      </c>
      <c r="F66" s="11"/>
      <c r="G66" s="11">
        <v>1372</v>
      </c>
      <c r="H66" s="11">
        <v>91.44</v>
      </c>
      <c r="I66" s="11"/>
      <c r="J66" s="11"/>
      <c r="K66" s="11"/>
      <c r="L66" s="13"/>
      <c r="M66" s="13"/>
      <c r="N66" s="13"/>
      <c r="O66" s="13" t="s">
        <v>160</v>
      </c>
    </row>
    <row r="67" ht="24.9" customHeight="1" spans="2:15">
      <c r="B67" s="9">
        <v>66</v>
      </c>
      <c r="C67" s="10" t="s">
        <v>48</v>
      </c>
      <c r="D67" s="10" t="s">
        <v>161</v>
      </c>
      <c r="E67" s="10" t="s">
        <v>162</v>
      </c>
      <c r="F67" s="11">
        <v>0.15</v>
      </c>
      <c r="G67" s="11">
        <v>1200</v>
      </c>
      <c r="H67" s="11">
        <v>50</v>
      </c>
      <c r="I67" s="11">
        <f>1515/60</f>
        <v>25.25</v>
      </c>
      <c r="J67" s="11"/>
      <c r="K67" s="11"/>
      <c r="L67" s="13"/>
      <c r="M67" s="13"/>
      <c r="N67" s="13"/>
      <c r="O67" s="13"/>
    </row>
    <row r="68" ht="24.9" customHeight="1" spans="2:15">
      <c r="B68" s="9">
        <v>67</v>
      </c>
      <c r="C68" s="10" t="s">
        <v>48</v>
      </c>
      <c r="D68" s="10" t="s">
        <v>163</v>
      </c>
      <c r="E68" s="10" t="s">
        <v>162</v>
      </c>
      <c r="F68" s="11">
        <v>0.25</v>
      </c>
      <c r="G68" s="11">
        <v>600</v>
      </c>
      <c r="H68" s="11">
        <v>33</v>
      </c>
      <c r="I68" s="12">
        <f>3850/(0.6*33)</f>
        <v>194.444444444444</v>
      </c>
      <c r="J68" s="11"/>
      <c r="K68" s="11"/>
      <c r="L68" s="13"/>
      <c r="M68" s="13"/>
      <c r="N68" s="13"/>
      <c r="O68" s="13"/>
    </row>
    <row r="69" ht="24.9" customHeight="1" spans="2:15">
      <c r="B69" s="9">
        <v>68</v>
      </c>
      <c r="C69" s="10" t="s">
        <v>48</v>
      </c>
      <c r="D69" s="10" t="s">
        <v>164</v>
      </c>
      <c r="E69" s="10" t="s">
        <v>162</v>
      </c>
      <c r="F69" s="11">
        <v>0.17</v>
      </c>
      <c r="G69" s="11">
        <v>1372</v>
      </c>
      <c r="H69" s="11">
        <v>55</v>
      </c>
      <c r="I69" s="12">
        <f>2920/(G69*H69)*1000</f>
        <v>38.6959978796714</v>
      </c>
      <c r="J69" s="11">
        <f>I69*G69/1000*55</f>
        <v>2920</v>
      </c>
      <c r="K69" s="11"/>
      <c r="L69" s="13"/>
      <c r="M69" s="13"/>
      <c r="N69" s="13"/>
      <c r="O69" s="13"/>
    </row>
    <row r="70" ht="24.9" customHeight="1" spans="2:15">
      <c r="B70" s="9">
        <v>69</v>
      </c>
      <c r="C70" s="10" t="s">
        <v>48</v>
      </c>
      <c r="D70" s="10" t="s">
        <v>165</v>
      </c>
      <c r="E70" s="10" t="s">
        <v>162</v>
      </c>
      <c r="F70" s="11">
        <v>0.2</v>
      </c>
      <c r="G70" s="11">
        <v>88</v>
      </c>
      <c r="H70" s="11">
        <v>66</v>
      </c>
      <c r="I70" s="12">
        <f>1159.44/(G70/1000*H70)</f>
        <v>199.628099173554</v>
      </c>
      <c r="J70" s="11"/>
      <c r="K70" s="11"/>
      <c r="L70" s="13"/>
      <c r="M70" s="13"/>
      <c r="N70" s="13"/>
      <c r="O70" s="13"/>
    </row>
    <row r="71" ht="24.9" customHeight="1" spans="2:15">
      <c r="B71" s="9">
        <v>70</v>
      </c>
      <c r="C71" s="10" t="s">
        <v>48</v>
      </c>
      <c r="D71" s="10" t="s">
        <v>50</v>
      </c>
      <c r="E71" s="10" t="s">
        <v>162</v>
      </c>
      <c r="F71" s="11">
        <v>1.1</v>
      </c>
      <c r="G71" s="11">
        <v>600</v>
      </c>
      <c r="H71" s="11">
        <v>33</v>
      </c>
      <c r="I71" s="11">
        <v>239.9</v>
      </c>
      <c r="J71" s="11"/>
      <c r="K71" s="11"/>
      <c r="L71" s="13"/>
      <c r="M71" s="13"/>
      <c r="N71" s="13"/>
      <c r="O71" s="13"/>
    </row>
    <row r="72" ht="24.9" customHeight="1" spans="2:15">
      <c r="B72" s="9">
        <v>71</v>
      </c>
      <c r="C72" s="10" t="s">
        <v>83</v>
      </c>
      <c r="D72" s="10" t="s">
        <v>166</v>
      </c>
      <c r="E72" s="10" t="s">
        <v>167</v>
      </c>
      <c r="F72" s="11"/>
      <c r="G72" s="11">
        <v>940</v>
      </c>
      <c r="H72" s="11">
        <v>100</v>
      </c>
      <c r="I72" s="11"/>
      <c r="J72" s="11"/>
      <c r="K72" s="11"/>
      <c r="L72" s="13"/>
      <c r="M72" s="13"/>
      <c r="N72" s="13"/>
      <c r="O72" s="13"/>
    </row>
    <row r="73" ht="24.9" customHeight="1" spans="2:15">
      <c r="B73" s="9">
        <v>72</v>
      </c>
      <c r="C73" s="10" t="s">
        <v>83</v>
      </c>
      <c r="D73" s="10" t="s">
        <v>168</v>
      </c>
      <c r="E73" s="10" t="s">
        <v>167</v>
      </c>
      <c r="F73" s="11"/>
      <c r="G73" s="11">
        <v>940</v>
      </c>
      <c r="H73" s="11">
        <v>100</v>
      </c>
      <c r="I73" s="11">
        <v>152.2</v>
      </c>
      <c r="J73" s="11"/>
      <c r="K73" s="11"/>
      <c r="L73" s="13"/>
      <c r="M73" s="13"/>
      <c r="N73" s="13"/>
      <c r="O73" s="13"/>
    </row>
    <row r="74" ht="24.9" customHeight="1" spans="2:15">
      <c r="B74" s="9">
        <v>73</v>
      </c>
      <c r="C74" s="10" t="s">
        <v>83</v>
      </c>
      <c r="D74" s="10" t="s">
        <v>169</v>
      </c>
      <c r="E74" s="10" t="s">
        <v>167</v>
      </c>
      <c r="F74" s="11"/>
      <c r="G74" s="11">
        <v>1250</v>
      </c>
      <c r="H74" s="11">
        <v>200</v>
      </c>
      <c r="I74" s="11">
        <v>27.9</v>
      </c>
      <c r="J74" s="11"/>
      <c r="K74" s="11"/>
      <c r="L74" s="13"/>
      <c r="M74" s="13"/>
      <c r="N74" s="13"/>
      <c r="O74" s="13"/>
    </row>
    <row r="75" ht="24.9" customHeight="1" spans="2:15">
      <c r="B75" s="9">
        <v>74</v>
      </c>
      <c r="C75" s="10" t="s">
        <v>83</v>
      </c>
      <c r="D75" s="10" t="s">
        <v>170</v>
      </c>
      <c r="E75" s="10" t="s">
        <v>167</v>
      </c>
      <c r="F75" s="11"/>
      <c r="G75" s="11">
        <v>1360</v>
      </c>
      <c r="H75" s="11">
        <v>50</v>
      </c>
      <c r="I75" s="11"/>
      <c r="J75" s="11"/>
      <c r="K75" s="11"/>
      <c r="L75" s="13"/>
      <c r="M75" s="13"/>
      <c r="N75" s="13"/>
      <c r="O75" s="13"/>
    </row>
    <row r="76" ht="24.9" customHeight="1" spans="2:15">
      <c r="B76" s="9">
        <v>75</v>
      </c>
      <c r="C76" s="10" t="s">
        <v>83</v>
      </c>
      <c r="D76" s="10" t="s">
        <v>171</v>
      </c>
      <c r="E76" s="10" t="s">
        <v>167</v>
      </c>
      <c r="F76" s="11"/>
      <c r="G76" s="11">
        <v>940</v>
      </c>
      <c r="H76" s="11">
        <v>100</v>
      </c>
      <c r="I76" s="11"/>
      <c r="J76" s="11"/>
      <c r="K76" s="11"/>
      <c r="L76" s="13"/>
      <c r="M76" s="13"/>
      <c r="N76" s="13"/>
      <c r="O76" s="13"/>
    </row>
    <row r="77" ht="24.9" customHeight="1" spans="2:15">
      <c r="B77" s="9">
        <v>76</v>
      </c>
      <c r="C77" s="10" t="s">
        <v>83</v>
      </c>
      <c r="D77" s="10" t="s">
        <v>172</v>
      </c>
      <c r="E77" s="10" t="s">
        <v>167</v>
      </c>
      <c r="F77" s="11"/>
      <c r="G77" s="11">
        <v>125</v>
      </c>
      <c r="H77" s="11">
        <v>200</v>
      </c>
      <c r="I77" s="11">
        <v>33</v>
      </c>
      <c r="J77" s="11"/>
      <c r="K77" s="11"/>
      <c r="L77" s="13"/>
      <c r="M77" s="13"/>
      <c r="N77" s="13"/>
      <c r="O77" s="13"/>
    </row>
    <row r="78" ht="24.9" customHeight="1" spans="2:15">
      <c r="B78" s="9">
        <v>77</v>
      </c>
      <c r="C78" s="10" t="s">
        <v>173</v>
      </c>
      <c r="D78" s="10" t="s">
        <v>174</v>
      </c>
      <c r="E78" s="10" t="s">
        <v>175</v>
      </c>
      <c r="F78" s="11">
        <v>0.03</v>
      </c>
      <c r="G78" s="11"/>
      <c r="H78" s="11"/>
      <c r="I78" s="11"/>
      <c r="J78" s="11"/>
      <c r="K78" s="11">
        <v>13.5</v>
      </c>
      <c r="L78" s="13"/>
      <c r="M78" s="13"/>
      <c r="N78" s="13"/>
      <c r="O78" s="13"/>
    </row>
    <row r="79" ht="24.9" customHeight="1" spans="2:15">
      <c r="B79" s="9">
        <v>78</v>
      </c>
      <c r="C79" s="10" t="s">
        <v>173</v>
      </c>
      <c r="D79" s="10" t="s">
        <v>176</v>
      </c>
      <c r="E79" s="10" t="s">
        <v>175</v>
      </c>
      <c r="F79" s="11">
        <v>0.03</v>
      </c>
      <c r="G79" s="11"/>
      <c r="H79" s="11"/>
      <c r="I79" s="11"/>
      <c r="J79" s="11"/>
      <c r="K79" s="11">
        <v>13.5</v>
      </c>
      <c r="L79" s="13"/>
      <c r="M79" s="13"/>
      <c r="N79" s="13"/>
      <c r="O79" s="13"/>
    </row>
    <row r="80" ht="24.9" customHeight="1" spans="2:15">
      <c r="B80" s="9">
        <v>79</v>
      </c>
      <c r="C80" s="10" t="s">
        <v>173</v>
      </c>
      <c r="D80" s="10" t="s">
        <v>177</v>
      </c>
      <c r="E80" s="10" t="s">
        <v>175</v>
      </c>
      <c r="F80" s="11">
        <v>0.012</v>
      </c>
      <c r="G80" s="11"/>
      <c r="H80" s="11"/>
      <c r="I80" s="11"/>
      <c r="J80" s="11"/>
      <c r="K80" s="11"/>
      <c r="L80" s="13"/>
      <c r="M80" s="13"/>
      <c r="N80" s="13"/>
      <c r="O80" s="13"/>
    </row>
    <row r="81" ht="24.9" customHeight="1" spans="2:15">
      <c r="B81" s="9">
        <v>80</v>
      </c>
      <c r="C81" s="10" t="s">
        <v>178</v>
      </c>
      <c r="D81" s="10" t="s">
        <v>179</v>
      </c>
      <c r="E81" s="10" t="s">
        <v>175</v>
      </c>
      <c r="F81" s="11">
        <v>0.1</v>
      </c>
      <c r="G81" s="11">
        <v>1070</v>
      </c>
      <c r="H81" s="11">
        <v>100</v>
      </c>
      <c r="I81" s="11"/>
      <c r="J81" s="11"/>
      <c r="K81" s="11">
        <v>15.6</v>
      </c>
      <c r="L81" s="13" t="s">
        <v>180</v>
      </c>
      <c r="M81" s="13">
        <v>13534182060</v>
      </c>
      <c r="N81" s="13"/>
      <c r="O81" s="13"/>
    </row>
    <row r="82" ht="24.9" customHeight="1" spans="2:15">
      <c r="B82" s="9">
        <v>81</v>
      </c>
      <c r="C82" s="10"/>
      <c r="D82" s="10" t="s">
        <v>181</v>
      </c>
      <c r="E82" s="10" t="s">
        <v>124</v>
      </c>
      <c r="F82" s="11">
        <v>0.5</v>
      </c>
      <c r="G82" s="11">
        <v>1000</v>
      </c>
      <c r="H82" s="11">
        <v>100</v>
      </c>
      <c r="I82" s="11"/>
      <c r="J82" s="11"/>
      <c r="K82" s="11"/>
      <c r="L82" s="13"/>
      <c r="M82" s="13"/>
      <c r="N82" s="13"/>
      <c r="O82" s="13"/>
    </row>
    <row r="83" ht="24.9" customHeight="1" spans="2:15">
      <c r="B83" s="9">
        <v>82</v>
      </c>
      <c r="C83" s="10"/>
      <c r="D83" s="10" t="s">
        <v>182</v>
      </c>
      <c r="E83" s="10" t="s">
        <v>124</v>
      </c>
      <c r="F83" s="11">
        <v>0.8</v>
      </c>
      <c r="G83" s="11">
        <v>1000</v>
      </c>
      <c r="H83" s="11">
        <v>100</v>
      </c>
      <c r="I83" s="11"/>
      <c r="J83" s="11"/>
      <c r="K83" s="11"/>
      <c r="L83" s="13"/>
      <c r="M83" s="13"/>
      <c r="N83" s="13"/>
      <c r="O83" s="13"/>
    </row>
    <row r="84" ht="24.9" customHeight="1" spans="2:15">
      <c r="B84" s="9">
        <v>83</v>
      </c>
      <c r="C84" s="10" t="s">
        <v>183</v>
      </c>
      <c r="D84" s="10" t="s">
        <v>184</v>
      </c>
      <c r="E84" s="10" t="s">
        <v>185</v>
      </c>
      <c r="F84" s="11">
        <v>0.05</v>
      </c>
      <c r="G84" s="11">
        <v>1070</v>
      </c>
      <c r="H84" s="11">
        <v>50</v>
      </c>
      <c r="I84" s="11">
        <v>38</v>
      </c>
      <c r="J84" s="11"/>
      <c r="K84" s="11"/>
      <c r="L84" s="13" t="s">
        <v>186</v>
      </c>
      <c r="M84" s="13">
        <v>18825269051</v>
      </c>
      <c r="N84" s="13"/>
      <c r="O84" s="13"/>
    </row>
    <row r="85" ht="24.9" customHeight="1" spans="2:15">
      <c r="B85" s="9">
        <v>84</v>
      </c>
      <c r="C85" s="10" t="s">
        <v>70</v>
      </c>
      <c r="D85" s="10" t="s">
        <v>187</v>
      </c>
      <c r="E85" s="10" t="s">
        <v>67</v>
      </c>
      <c r="F85" s="17">
        <v>0.8</v>
      </c>
      <c r="G85" s="17">
        <v>1050</v>
      </c>
      <c r="H85" s="17">
        <v>50</v>
      </c>
      <c r="I85" s="17">
        <v>45</v>
      </c>
      <c r="J85" s="11"/>
      <c r="K85" s="11"/>
      <c r="L85" s="13"/>
      <c r="M85" s="13"/>
      <c r="N85" s="13"/>
      <c r="O85" s="13"/>
    </row>
    <row r="86" ht="24.9" customHeight="1" spans="2:15">
      <c r="B86" s="9">
        <v>85</v>
      </c>
      <c r="C86" s="10" t="s">
        <v>188</v>
      </c>
      <c r="D86" s="10" t="s">
        <v>189</v>
      </c>
      <c r="E86" s="10" t="s">
        <v>185</v>
      </c>
      <c r="F86" s="11">
        <v>0.05</v>
      </c>
      <c r="G86" s="11">
        <v>1070</v>
      </c>
      <c r="H86" s="11">
        <v>50</v>
      </c>
      <c r="I86" s="11">
        <v>33</v>
      </c>
      <c r="J86" s="11"/>
      <c r="K86" s="11"/>
      <c r="L86" s="13"/>
      <c r="M86" s="13"/>
      <c r="N86" s="13"/>
      <c r="O86" s="13"/>
    </row>
    <row r="87" ht="24.9" customHeight="1" spans="2:15">
      <c r="B87" s="9">
        <v>86</v>
      </c>
      <c r="C87" s="18" t="s">
        <v>190</v>
      </c>
      <c r="D87" s="19" t="s">
        <v>191</v>
      </c>
      <c r="E87" s="19" t="s">
        <v>185</v>
      </c>
      <c r="F87" s="20">
        <v>0.05</v>
      </c>
      <c r="G87" s="20">
        <v>1070</v>
      </c>
      <c r="H87" s="20">
        <v>50</v>
      </c>
      <c r="I87" s="20">
        <v>45</v>
      </c>
      <c r="J87" s="20"/>
      <c r="K87" s="20"/>
      <c r="L87" s="21"/>
      <c r="M87" s="21"/>
      <c r="N87" s="21"/>
      <c r="O87" s="21"/>
    </row>
    <row r="88" ht="24.9" customHeight="1" spans="2:15">
      <c r="B88" s="9">
        <v>87</v>
      </c>
      <c r="C88" s="18" t="s">
        <v>142</v>
      </c>
      <c r="D88" s="22" t="s">
        <v>192</v>
      </c>
      <c r="E88" s="22" t="s">
        <v>193</v>
      </c>
      <c r="F88" s="23">
        <v>0.15</v>
      </c>
      <c r="G88" s="23"/>
      <c r="H88" s="23"/>
      <c r="I88" s="24">
        <v>7.3</v>
      </c>
      <c r="J88" s="23"/>
      <c r="K88" s="23"/>
      <c r="L88" s="22"/>
      <c r="M88" s="23"/>
      <c r="N88" s="25"/>
      <c r="O88" s="25"/>
    </row>
    <row r="89" ht="24.9" customHeight="1" spans="2:15">
      <c r="B89" s="9">
        <v>88</v>
      </c>
      <c r="C89" s="26" t="s">
        <v>17</v>
      </c>
      <c r="D89" s="22" t="s">
        <v>194</v>
      </c>
      <c r="E89" s="22" t="s">
        <v>195</v>
      </c>
      <c r="F89" s="23">
        <v>0.03</v>
      </c>
      <c r="G89" s="23"/>
      <c r="H89" s="23"/>
      <c r="I89" s="24">
        <v>65</v>
      </c>
      <c r="J89" s="23"/>
      <c r="K89" s="23"/>
      <c r="L89" s="22"/>
      <c r="M89" s="23"/>
      <c r="N89" s="25"/>
      <c r="O89" s="25"/>
    </row>
    <row r="90" ht="24.9" customHeight="1" spans="2:15">
      <c r="B90" s="9">
        <v>89</v>
      </c>
      <c r="C90" s="26"/>
      <c r="D90" s="22" t="s">
        <v>196</v>
      </c>
      <c r="E90" s="22" t="s">
        <v>197</v>
      </c>
      <c r="F90" s="23"/>
      <c r="G90" s="23"/>
      <c r="H90" s="23"/>
      <c r="I90" s="24"/>
      <c r="J90" s="23"/>
      <c r="K90" s="23"/>
      <c r="L90" s="22"/>
      <c r="M90" s="23" t="s">
        <v>198</v>
      </c>
      <c r="N90" s="25"/>
      <c r="O90" s="25"/>
    </row>
    <row r="91" ht="24.9" customHeight="1" spans="2:15">
      <c r="B91" s="9">
        <v>90</v>
      </c>
      <c r="C91" s="18" t="s">
        <v>70</v>
      </c>
      <c r="D91" s="22" t="s">
        <v>199</v>
      </c>
      <c r="E91" s="19" t="s">
        <v>67</v>
      </c>
      <c r="F91" s="23">
        <v>0.4</v>
      </c>
      <c r="G91" s="20">
        <v>1050</v>
      </c>
      <c r="H91" s="20">
        <v>50</v>
      </c>
      <c r="I91" s="24"/>
      <c r="J91" s="23"/>
      <c r="K91" s="23"/>
      <c r="L91" s="22"/>
      <c r="M91" s="23"/>
      <c r="N91" s="25"/>
      <c r="O91" s="25"/>
    </row>
    <row r="92" ht="24.9" customHeight="1" spans="2:15">
      <c r="B92" s="9">
        <v>91</v>
      </c>
      <c r="C92" s="18" t="s">
        <v>200</v>
      </c>
      <c r="D92" s="22" t="s">
        <v>201</v>
      </c>
      <c r="E92" s="22" t="s">
        <v>193</v>
      </c>
      <c r="F92" s="23">
        <v>0.06</v>
      </c>
      <c r="G92" s="23"/>
      <c r="H92" s="23"/>
      <c r="I92" s="24"/>
      <c r="J92" s="23"/>
      <c r="K92" s="23"/>
      <c r="L92" s="22"/>
      <c r="M92" s="23"/>
      <c r="N92" s="25"/>
      <c r="O92" s="25" t="s">
        <v>202</v>
      </c>
    </row>
    <row r="93" ht="24.9" customHeight="1" spans="2:15">
      <c r="B93" s="9">
        <v>92</v>
      </c>
      <c r="C93" s="26" t="s">
        <v>48</v>
      </c>
      <c r="D93" s="27" t="s">
        <v>203</v>
      </c>
      <c r="E93" s="27" t="s">
        <v>44</v>
      </c>
      <c r="F93" s="28">
        <v>1.1</v>
      </c>
      <c r="G93" s="23">
        <v>600</v>
      </c>
      <c r="H93" s="23">
        <v>33</v>
      </c>
      <c r="I93" s="24">
        <f>3050/0.6/33</f>
        <v>154.040404040404</v>
      </c>
      <c r="J93" s="23"/>
      <c r="K93" s="23"/>
      <c r="L93" s="22"/>
      <c r="M93" s="23"/>
      <c r="N93" s="25"/>
      <c r="O93" s="25"/>
    </row>
    <row r="94" ht="24.9" customHeight="1" spans="2:15">
      <c r="B94" s="9">
        <v>93</v>
      </c>
      <c r="C94" s="26" t="s">
        <v>48</v>
      </c>
      <c r="D94" s="22" t="s">
        <v>204</v>
      </c>
      <c r="E94" s="22" t="s">
        <v>44</v>
      </c>
      <c r="F94" s="23">
        <v>0.16</v>
      </c>
      <c r="G94" s="23">
        <v>600</v>
      </c>
      <c r="H94" s="23">
        <v>16.5</v>
      </c>
      <c r="I94" s="24">
        <v>1980</v>
      </c>
      <c r="J94" s="23"/>
      <c r="K94" s="23"/>
      <c r="L94" s="22"/>
      <c r="M94" s="23"/>
      <c r="N94" s="25"/>
      <c r="O94" s="25"/>
    </row>
    <row r="95" ht="24.9" customHeight="1" spans="2:15">
      <c r="B95" s="9">
        <v>94</v>
      </c>
      <c r="C95" s="26" t="s">
        <v>48</v>
      </c>
      <c r="D95" s="22" t="s">
        <v>205</v>
      </c>
      <c r="E95" s="22" t="s">
        <v>44</v>
      </c>
      <c r="F95" s="23"/>
      <c r="G95" s="23">
        <v>600</v>
      </c>
      <c r="H95" s="23">
        <v>33</v>
      </c>
      <c r="I95" s="24">
        <f>2500/0.6/33</f>
        <v>126.262626262626</v>
      </c>
      <c r="J95" s="23"/>
      <c r="K95" s="23"/>
      <c r="L95" s="22"/>
      <c r="M95" s="23"/>
      <c r="N95" s="25"/>
      <c r="O95" s="25"/>
    </row>
    <row r="96" ht="24.9" customHeight="1" spans="2:15">
      <c r="B96" s="9">
        <v>95</v>
      </c>
      <c r="C96" s="26" t="s">
        <v>48</v>
      </c>
      <c r="D96" s="22" t="s">
        <v>206</v>
      </c>
      <c r="E96" s="22" t="s">
        <v>44</v>
      </c>
      <c r="F96" s="23"/>
      <c r="G96" s="23">
        <v>1200</v>
      </c>
      <c r="H96" s="23">
        <v>50</v>
      </c>
      <c r="I96" s="24">
        <v>2500</v>
      </c>
      <c r="J96" s="23"/>
      <c r="K96" s="23"/>
      <c r="L96" s="22"/>
      <c r="M96" s="23"/>
      <c r="N96" s="25"/>
      <c r="O96" s="25"/>
    </row>
    <row r="97" ht="24.9" customHeight="1" spans="2:15">
      <c r="B97" s="9">
        <v>96</v>
      </c>
      <c r="C97" s="26" t="s">
        <v>100</v>
      </c>
      <c r="D97" s="22" t="s">
        <v>207</v>
      </c>
      <c r="E97" s="22" t="s">
        <v>98</v>
      </c>
      <c r="F97" s="23"/>
      <c r="G97" s="23"/>
      <c r="H97" s="23"/>
      <c r="I97" s="24">
        <v>15.5</v>
      </c>
      <c r="J97" s="23"/>
      <c r="K97" s="23"/>
      <c r="L97" s="22"/>
      <c r="M97" s="23"/>
      <c r="N97" s="25"/>
      <c r="O97" s="25"/>
    </row>
    <row r="98" ht="24.9" customHeight="1" spans="2:15">
      <c r="B98" s="9">
        <v>97</v>
      </c>
      <c r="C98" s="26"/>
      <c r="D98" s="22">
        <v>77204</v>
      </c>
      <c r="E98" s="22" t="s">
        <v>44</v>
      </c>
      <c r="F98" s="23"/>
      <c r="G98" s="23">
        <v>900</v>
      </c>
      <c r="H98" s="23">
        <v>33</v>
      </c>
      <c r="I98" s="24">
        <v>3750</v>
      </c>
      <c r="J98" s="23"/>
      <c r="K98" s="23"/>
      <c r="L98" s="22"/>
      <c r="M98" s="23"/>
      <c r="N98" s="25"/>
      <c r="O98" s="25"/>
    </row>
    <row r="99" ht="24.9" customHeight="1" spans="2:15">
      <c r="B99" s="9">
        <v>98</v>
      </c>
      <c r="C99" s="26"/>
      <c r="D99" s="22" t="s">
        <v>208</v>
      </c>
      <c r="E99" s="22" t="s">
        <v>175</v>
      </c>
      <c r="F99" s="23">
        <v>0.05</v>
      </c>
      <c r="G99" s="23">
        <v>1070</v>
      </c>
      <c r="H99" s="23">
        <v>400</v>
      </c>
      <c r="I99" s="24"/>
      <c r="J99" s="23"/>
      <c r="K99" s="23">
        <v>7.8</v>
      </c>
      <c r="L99" s="22"/>
      <c r="M99" s="23"/>
      <c r="N99" s="25"/>
      <c r="O99" s="25"/>
    </row>
    <row r="100" ht="24.9" customHeight="1" spans="2:15">
      <c r="B100" s="9">
        <v>99</v>
      </c>
      <c r="C100" s="26" t="s">
        <v>209</v>
      </c>
      <c r="D100" s="22" t="s">
        <v>210</v>
      </c>
      <c r="E100" s="22" t="s">
        <v>195</v>
      </c>
      <c r="F100" s="23">
        <v>0.05</v>
      </c>
      <c r="G100" s="23">
        <v>1070</v>
      </c>
      <c r="H100" s="23">
        <v>50</v>
      </c>
      <c r="I100" s="24">
        <v>62</v>
      </c>
      <c r="J100" s="23"/>
      <c r="K100" s="23"/>
      <c r="L100" s="22"/>
      <c r="M100" s="23"/>
      <c r="N100" s="25"/>
      <c r="O100" s="25"/>
    </row>
    <row r="101" ht="24.9" customHeight="1" spans="2:15">
      <c r="B101" s="9">
        <v>100</v>
      </c>
      <c r="C101" s="26" t="s">
        <v>65</v>
      </c>
      <c r="D101" s="22" t="s">
        <v>211</v>
      </c>
      <c r="E101" s="22" t="s">
        <v>212</v>
      </c>
      <c r="F101" s="23">
        <v>0.06</v>
      </c>
      <c r="G101" s="23">
        <v>1200</v>
      </c>
      <c r="H101" s="23">
        <v>400</v>
      </c>
      <c r="I101" s="24">
        <v>7.2</v>
      </c>
      <c r="J101" s="23"/>
      <c r="K101" s="23"/>
      <c r="L101" s="22"/>
      <c r="M101" s="23"/>
      <c r="N101" s="25"/>
      <c r="O101" s="25"/>
    </row>
    <row r="102" ht="24.9" customHeight="1" spans="2:15">
      <c r="B102" s="9">
        <v>101</v>
      </c>
      <c r="C102" s="26" t="s">
        <v>70</v>
      </c>
      <c r="D102" s="22" t="s">
        <v>213</v>
      </c>
      <c r="E102" s="22" t="s">
        <v>214</v>
      </c>
      <c r="F102" s="23">
        <v>0.1</v>
      </c>
      <c r="G102" s="23">
        <v>1050</v>
      </c>
      <c r="H102" s="23">
        <v>25</v>
      </c>
      <c r="I102" s="24">
        <v>45</v>
      </c>
      <c r="J102" s="23"/>
      <c r="K102" s="23"/>
      <c r="L102" s="22"/>
      <c r="M102" s="23"/>
      <c r="N102" s="25"/>
      <c r="O102" s="25"/>
    </row>
    <row r="103" ht="24.9" customHeight="1" spans="2:15">
      <c r="B103" s="9">
        <v>102</v>
      </c>
      <c r="C103" s="26" t="s">
        <v>48</v>
      </c>
      <c r="D103" s="22" t="s">
        <v>215</v>
      </c>
      <c r="E103" s="22" t="s">
        <v>162</v>
      </c>
      <c r="F103" s="23">
        <v>1.6</v>
      </c>
      <c r="G103" s="23">
        <v>570</v>
      </c>
      <c r="H103" s="23">
        <v>33</v>
      </c>
      <c r="I103" s="29" t="s">
        <v>216</v>
      </c>
      <c r="J103" s="23"/>
      <c r="K103" s="23"/>
      <c r="L103" s="22"/>
      <c r="M103" s="23"/>
      <c r="N103" s="25"/>
      <c r="O103" s="25"/>
    </row>
    <row r="104" ht="24.9" customHeight="1" spans="2:15">
      <c r="B104" s="9">
        <v>103</v>
      </c>
      <c r="C104" s="26" t="s">
        <v>48</v>
      </c>
      <c r="D104" s="22" t="s">
        <v>215</v>
      </c>
      <c r="E104" s="22" t="s">
        <v>44</v>
      </c>
      <c r="F104" s="23">
        <v>1.6</v>
      </c>
      <c r="G104" s="23">
        <v>570</v>
      </c>
      <c r="H104" s="23">
        <v>33</v>
      </c>
      <c r="I104" s="24">
        <v>4550</v>
      </c>
      <c r="J104" s="23"/>
      <c r="K104" s="23"/>
      <c r="L104" s="22"/>
      <c r="M104" s="23"/>
      <c r="N104" s="25"/>
      <c r="O104" s="25"/>
    </row>
    <row r="105" ht="24.9" customHeight="1" spans="2:15">
      <c r="B105" s="9">
        <v>104</v>
      </c>
      <c r="C105" s="26" t="s">
        <v>48</v>
      </c>
      <c r="D105" s="22" t="s">
        <v>217</v>
      </c>
      <c r="E105" s="22" t="s">
        <v>44</v>
      </c>
      <c r="F105" s="23"/>
      <c r="G105" s="23">
        <v>1200</v>
      </c>
      <c r="H105" s="23">
        <v>50</v>
      </c>
      <c r="I105" s="24">
        <f>1660/1.2/50</f>
        <v>27.6666666666667</v>
      </c>
      <c r="J105" s="23"/>
      <c r="K105" s="23"/>
      <c r="L105" s="22"/>
      <c r="M105" s="23"/>
      <c r="N105" s="25"/>
      <c r="O105" s="25"/>
    </row>
    <row r="106" ht="24.9" customHeight="1" spans="2:15">
      <c r="B106" s="9">
        <v>105</v>
      </c>
      <c r="C106" s="26"/>
      <c r="D106" s="22" t="s">
        <v>218</v>
      </c>
      <c r="E106" s="22" t="s">
        <v>41</v>
      </c>
      <c r="F106" s="23"/>
      <c r="G106" s="23"/>
      <c r="H106" s="23"/>
      <c r="I106" s="24"/>
      <c r="J106" s="23"/>
      <c r="K106" s="23"/>
      <c r="L106" s="22"/>
      <c r="M106" s="23"/>
      <c r="N106" s="25"/>
      <c r="O106" s="25"/>
    </row>
    <row r="107" ht="24.9" customHeight="1" spans="2:15">
      <c r="B107" s="9">
        <v>106</v>
      </c>
      <c r="C107" s="26"/>
      <c r="D107" s="22" t="s">
        <v>219</v>
      </c>
      <c r="E107" s="22" t="s">
        <v>41</v>
      </c>
      <c r="F107" s="23"/>
      <c r="G107" s="23"/>
      <c r="H107" s="23"/>
      <c r="I107" s="24"/>
      <c r="J107" s="23"/>
      <c r="K107" s="23"/>
      <c r="L107" s="22"/>
      <c r="M107" s="23"/>
      <c r="N107" s="25"/>
      <c r="O107" s="25"/>
    </row>
    <row r="108" ht="24.9" customHeight="1" spans="2:15">
      <c r="B108" s="9">
        <v>107</v>
      </c>
      <c r="C108" s="26"/>
      <c r="D108" s="22" t="s">
        <v>220</v>
      </c>
      <c r="E108" s="22" t="s">
        <v>41</v>
      </c>
      <c r="F108" s="23"/>
      <c r="G108" s="23"/>
      <c r="H108" s="23"/>
      <c r="I108" s="24"/>
      <c r="J108" s="23"/>
      <c r="K108" s="23"/>
      <c r="L108" s="22"/>
      <c r="M108" s="23"/>
      <c r="N108" s="25"/>
      <c r="O108" s="25"/>
    </row>
    <row r="109" ht="24.9" customHeight="1" spans="2:15">
      <c r="B109" s="9">
        <v>108</v>
      </c>
      <c r="C109" s="26"/>
      <c r="D109" s="22" t="s">
        <v>221</v>
      </c>
      <c r="E109" s="22" t="s">
        <v>185</v>
      </c>
      <c r="F109" s="23">
        <v>0.03</v>
      </c>
      <c r="G109" s="23">
        <v>1070</v>
      </c>
      <c r="H109" s="23">
        <v>50</v>
      </c>
      <c r="I109" s="24">
        <v>55</v>
      </c>
      <c r="J109" s="23"/>
      <c r="K109" s="23"/>
      <c r="L109" s="22"/>
      <c r="M109" s="23"/>
      <c r="N109" s="25"/>
      <c r="O109" s="25"/>
    </row>
    <row r="110" ht="24.9" customHeight="1" spans="2:15">
      <c r="B110" s="9">
        <v>109</v>
      </c>
      <c r="C110" s="26" t="s">
        <v>48</v>
      </c>
      <c r="D110" s="22" t="s">
        <v>222</v>
      </c>
      <c r="E110" s="22" t="s">
        <v>44</v>
      </c>
      <c r="F110" s="23"/>
      <c r="G110" s="23">
        <v>600</v>
      </c>
      <c r="H110" s="23">
        <v>33</v>
      </c>
      <c r="I110" s="24">
        <f>5750/0.6/33</f>
        <v>290.40404040404</v>
      </c>
      <c r="J110" s="23"/>
      <c r="K110" s="23"/>
      <c r="L110" s="22"/>
      <c r="M110" s="23"/>
      <c r="N110" s="25"/>
      <c r="O110" s="25"/>
    </row>
    <row r="111" ht="24.9" customHeight="1" spans="2:15">
      <c r="B111" s="9">
        <v>110</v>
      </c>
      <c r="C111" s="26" t="s">
        <v>39</v>
      </c>
      <c r="D111" s="22" t="s">
        <v>219</v>
      </c>
      <c r="E111" s="22"/>
      <c r="F111" s="23"/>
      <c r="G111" s="23"/>
      <c r="H111" s="23"/>
      <c r="I111" s="24"/>
      <c r="J111" s="23"/>
      <c r="K111" s="23"/>
      <c r="L111" s="22"/>
      <c r="M111" s="23"/>
      <c r="N111" s="25"/>
      <c r="O111" s="25"/>
    </row>
    <row r="112" ht="24.9" customHeight="1" spans="2:15">
      <c r="B112" s="9">
        <v>111</v>
      </c>
      <c r="C112" s="26" t="s">
        <v>223</v>
      </c>
      <c r="D112" s="22" t="s">
        <v>224</v>
      </c>
      <c r="E112" s="22" t="s">
        <v>117</v>
      </c>
      <c r="F112" s="23"/>
      <c r="G112" s="23"/>
      <c r="H112" s="23"/>
      <c r="I112" s="24">
        <v>95</v>
      </c>
      <c r="J112" s="23"/>
      <c r="K112" s="23"/>
      <c r="L112" s="22"/>
      <c r="M112" s="23"/>
      <c r="N112" s="25"/>
      <c r="O112" s="25"/>
    </row>
    <row r="113" ht="24.9" customHeight="1" spans="2:15">
      <c r="B113" s="9">
        <v>112</v>
      </c>
      <c r="C113" s="26" t="s">
        <v>48</v>
      </c>
      <c r="D113" s="22" t="s">
        <v>225</v>
      </c>
      <c r="E113" s="22" t="s">
        <v>44</v>
      </c>
      <c r="F113" s="23">
        <v>0.4</v>
      </c>
      <c r="G113" s="23">
        <v>600</v>
      </c>
      <c r="H113" s="23">
        <v>33</v>
      </c>
      <c r="I113" s="30">
        <f>3500/0.6/33</f>
        <v>176.767676767677</v>
      </c>
      <c r="J113" s="23"/>
      <c r="K113" s="23"/>
      <c r="L113" s="22"/>
      <c r="M113" s="23"/>
      <c r="N113" s="25"/>
      <c r="O113" s="25"/>
    </row>
    <row r="114" ht="24.9" customHeight="1" spans="2:15">
      <c r="B114" s="9">
        <v>113</v>
      </c>
      <c r="C114" s="26" t="s">
        <v>48</v>
      </c>
      <c r="D114" s="22" t="s">
        <v>226</v>
      </c>
      <c r="E114" s="22" t="s">
        <v>44</v>
      </c>
      <c r="F114" s="23">
        <v>0.4</v>
      </c>
      <c r="G114" s="23">
        <v>584</v>
      </c>
      <c r="H114" s="23">
        <v>33</v>
      </c>
      <c r="I114" s="24">
        <v>4200</v>
      </c>
      <c r="J114" s="23"/>
      <c r="K114" s="23"/>
      <c r="L114" s="22"/>
      <c r="M114" s="23"/>
      <c r="N114" s="25"/>
      <c r="O114" s="25"/>
    </row>
    <row r="115" ht="24.9" customHeight="1" spans="2:15">
      <c r="B115" s="9">
        <v>114</v>
      </c>
      <c r="C115" s="26" t="s">
        <v>227</v>
      </c>
      <c r="D115" s="22" t="s">
        <v>228</v>
      </c>
      <c r="E115" s="22" t="s">
        <v>167</v>
      </c>
      <c r="F115" s="23">
        <v>0.1</v>
      </c>
      <c r="G115" s="23">
        <v>1240</v>
      </c>
      <c r="H115" s="23">
        <v>50</v>
      </c>
      <c r="I115" s="24">
        <v>171.2</v>
      </c>
      <c r="J115" s="23"/>
      <c r="K115" s="23"/>
      <c r="L115" s="22"/>
      <c r="M115" s="23"/>
      <c r="N115" s="25"/>
      <c r="O115" s="25"/>
    </row>
    <row r="116" ht="24.9" customHeight="1" spans="2:15">
      <c r="B116" s="9">
        <v>115</v>
      </c>
      <c r="C116" s="26" t="s">
        <v>229</v>
      </c>
      <c r="D116" s="22" t="s">
        <v>230</v>
      </c>
      <c r="E116" s="22" t="s">
        <v>229</v>
      </c>
      <c r="F116" s="23"/>
      <c r="G116" s="23"/>
      <c r="H116" s="23"/>
      <c r="I116" s="24">
        <v>63</v>
      </c>
      <c r="J116" s="23"/>
      <c r="K116" s="23"/>
      <c r="L116" s="22"/>
      <c r="M116" s="23"/>
      <c r="N116" s="25"/>
      <c r="O116" s="25"/>
    </row>
    <row r="117" ht="24.9" customHeight="1" spans="2:15">
      <c r="B117" s="9">
        <v>116</v>
      </c>
      <c r="C117" s="26" t="s">
        <v>227</v>
      </c>
      <c r="D117" s="22" t="s">
        <v>231</v>
      </c>
      <c r="E117" s="22"/>
      <c r="F117" s="23">
        <v>0.1</v>
      </c>
      <c r="G117" s="23">
        <v>1320</v>
      </c>
      <c r="H117" s="23">
        <v>100</v>
      </c>
      <c r="I117" s="24">
        <v>48.2</v>
      </c>
      <c r="J117" s="23"/>
      <c r="K117" s="23"/>
      <c r="L117" s="22"/>
      <c r="M117" s="23"/>
      <c r="N117" s="25"/>
      <c r="O117" s="25"/>
    </row>
    <row r="118" ht="24.9" customHeight="1" spans="2:15">
      <c r="B118" s="9">
        <v>117</v>
      </c>
      <c r="C118" s="26"/>
      <c r="D118" s="22" t="s">
        <v>232</v>
      </c>
      <c r="E118" s="22"/>
      <c r="F118" s="23">
        <v>0.5</v>
      </c>
      <c r="G118" s="23">
        <v>980</v>
      </c>
      <c r="H118" s="23">
        <v>40</v>
      </c>
      <c r="I118" s="24">
        <v>3.15</v>
      </c>
      <c r="J118" s="23"/>
      <c r="K118" s="23"/>
      <c r="L118" s="22"/>
      <c r="M118" s="23"/>
      <c r="N118" s="25"/>
      <c r="O118" s="25"/>
    </row>
    <row r="119" ht="24.9" customHeight="1" spans="2:15">
      <c r="B119" s="9">
        <v>118</v>
      </c>
      <c r="C119" s="26" t="s">
        <v>233</v>
      </c>
      <c r="D119" s="31" t="s">
        <v>234</v>
      </c>
      <c r="E119" s="22" t="s">
        <v>235</v>
      </c>
      <c r="F119" s="23">
        <v>0.5</v>
      </c>
      <c r="G119" s="23">
        <v>980</v>
      </c>
      <c r="H119" s="23">
        <v>40</v>
      </c>
      <c r="I119" s="24">
        <v>186</v>
      </c>
      <c r="J119" s="23"/>
      <c r="K119" s="23"/>
      <c r="L119" s="22"/>
      <c r="M119" s="23"/>
      <c r="N119" s="25"/>
      <c r="O119" s="25"/>
    </row>
    <row r="120" ht="24.9" customHeight="1" spans="2:15">
      <c r="B120" s="9">
        <v>119</v>
      </c>
      <c r="C120" s="10" t="s">
        <v>236</v>
      </c>
      <c r="D120" s="10" t="s">
        <v>237</v>
      </c>
      <c r="E120" s="10" t="s">
        <v>31</v>
      </c>
      <c r="F120" s="11"/>
      <c r="G120" s="11">
        <v>1270</v>
      </c>
      <c r="H120" s="11">
        <v>300</v>
      </c>
      <c r="I120" s="11">
        <v>2.8</v>
      </c>
      <c r="J120" s="11"/>
      <c r="K120" s="11"/>
      <c r="L120" s="13"/>
      <c r="M120" s="10"/>
      <c r="N120" s="13"/>
      <c r="O120" s="13" t="s">
        <v>238</v>
      </c>
    </row>
    <row r="121" ht="24.9" customHeight="1" spans="2:15">
      <c r="B121" s="9">
        <v>120</v>
      </c>
      <c r="C121" s="10"/>
      <c r="D121" s="10" t="s">
        <v>239</v>
      </c>
      <c r="E121" s="10" t="s">
        <v>31</v>
      </c>
      <c r="F121" s="11"/>
      <c r="G121" s="11">
        <v>1270</v>
      </c>
      <c r="H121" s="11">
        <v>300</v>
      </c>
      <c r="I121" s="11">
        <v>2.8</v>
      </c>
      <c r="J121" s="11"/>
      <c r="K121" s="11"/>
      <c r="L121" s="13"/>
      <c r="M121" s="10"/>
      <c r="N121" s="13"/>
      <c r="O121" s="13" t="s">
        <v>238</v>
      </c>
    </row>
    <row r="122" ht="24.9" customHeight="1" spans="2:15">
      <c r="B122" s="9">
        <v>121</v>
      </c>
      <c r="C122" s="10" t="s">
        <v>240</v>
      </c>
      <c r="D122" s="10" t="s">
        <v>241</v>
      </c>
      <c r="E122" s="10" t="s">
        <v>31</v>
      </c>
      <c r="F122" s="11"/>
      <c r="G122" s="11">
        <v>1260</v>
      </c>
      <c r="H122" s="11">
        <v>500</v>
      </c>
      <c r="I122" s="11">
        <v>0.88</v>
      </c>
      <c r="J122" s="11"/>
      <c r="K122" s="11"/>
      <c r="L122" s="13"/>
      <c r="M122" s="10"/>
      <c r="N122" s="13"/>
      <c r="O122" s="13"/>
    </row>
    <row r="123" ht="24.9" customHeight="1" spans="2:15">
      <c r="B123" s="9">
        <v>122</v>
      </c>
      <c r="C123" s="10" t="s">
        <v>242</v>
      </c>
      <c r="D123" s="10" t="s">
        <v>243</v>
      </c>
      <c r="E123" s="10" t="s">
        <v>31</v>
      </c>
      <c r="F123" s="11">
        <v>0.05</v>
      </c>
      <c r="G123" s="11">
        <v>1250</v>
      </c>
      <c r="H123" s="11">
        <v>200</v>
      </c>
      <c r="I123" s="11">
        <v>1.7</v>
      </c>
      <c r="J123" s="11"/>
      <c r="K123" s="11"/>
      <c r="L123" s="13"/>
      <c r="M123" s="10"/>
      <c r="N123" s="13"/>
      <c r="O123" s="13"/>
    </row>
    <row r="124" ht="24.9" customHeight="1" spans="2:15">
      <c r="B124" s="9">
        <v>123</v>
      </c>
      <c r="C124" s="10" t="s">
        <v>244</v>
      </c>
      <c r="D124" s="10" t="s">
        <v>244</v>
      </c>
      <c r="E124" s="10" t="s">
        <v>31</v>
      </c>
      <c r="F124" s="11"/>
      <c r="G124" s="11">
        <v>1250</v>
      </c>
      <c r="H124" s="11">
        <v>150</v>
      </c>
      <c r="I124" s="11">
        <v>2.7</v>
      </c>
      <c r="J124" s="11"/>
      <c r="K124" s="11"/>
      <c r="L124" s="13"/>
      <c r="M124" s="10"/>
      <c r="N124" s="13"/>
      <c r="O124" s="13"/>
    </row>
    <row r="125" ht="24.9" customHeight="1" spans="2:15">
      <c r="B125" s="9">
        <v>124</v>
      </c>
      <c r="C125" s="10"/>
      <c r="D125" s="10" t="s">
        <v>245</v>
      </c>
      <c r="E125" s="10" t="s">
        <v>31</v>
      </c>
      <c r="F125" s="11"/>
      <c r="G125" s="11">
        <v>80</v>
      </c>
      <c r="H125" s="11">
        <v>200</v>
      </c>
      <c r="I125" s="11">
        <v>1.75</v>
      </c>
      <c r="J125" s="11"/>
      <c r="K125" s="11"/>
      <c r="L125" s="13"/>
      <c r="M125" s="10"/>
      <c r="N125" s="13"/>
      <c r="O125" s="13"/>
    </row>
    <row r="126" ht="24.9" customHeight="1" spans="2:15">
      <c r="B126" s="9">
        <v>125</v>
      </c>
      <c r="C126" s="10"/>
      <c r="D126" s="10" t="s">
        <v>246</v>
      </c>
      <c r="E126" s="10" t="s">
        <v>31</v>
      </c>
      <c r="F126" s="11">
        <v>0.06</v>
      </c>
      <c r="G126" s="11">
        <v>166</v>
      </c>
      <c r="H126" s="11">
        <v>66</v>
      </c>
      <c r="I126" s="11">
        <v>5.2</v>
      </c>
      <c r="J126" s="11"/>
      <c r="K126" s="11"/>
      <c r="L126" s="13"/>
      <c r="M126" s="10"/>
      <c r="N126" s="13"/>
      <c r="O126" s="13"/>
    </row>
    <row r="127" ht="24.9" customHeight="1" spans="2:15">
      <c r="B127" s="9">
        <v>126</v>
      </c>
      <c r="C127" s="10"/>
      <c r="D127" s="10" t="s">
        <v>247</v>
      </c>
      <c r="E127" s="10" t="s">
        <v>31</v>
      </c>
      <c r="F127" s="11">
        <v>0.3</v>
      </c>
      <c r="G127" s="11">
        <v>100</v>
      </c>
      <c r="H127" s="11">
        <v>500</v>
      </c>
      <c r="I127" s="11">
        <v>28</v>
      </c>
      <c r="J127" s="11"/>
      <c r="K127" s="11"/>
      <c r="L127" s="13"/>
      <c r="M127" s="10"/>
      <c r="N127" s="13"/>
      <c r="O127" s="13"/>
    </row>
    <row r="128" ht="24.9" customHeight="1" spans="2:15">
      <c r="B128" s="9">
        <v>127</v>
      </c>
      <c r="C128" s="10"/>
      <c r="D128" s="10" t="s">
        <v>248</v>
      </c>
      <c r="E128" s="10" t="s">
        <v>31</v>
      </c>
      <c r="F128" s="11">
        <v>0.4</v>
      </c>
      <c r="G128" s="11">
        <v>840</v>
      </c>
      <c r="H128" s="11">
        <v>33</v>
      </c>
      <c r="I128" s="11">
        <v>31.5</v>
      </c>
      <c r="J128" s="11"/>
      <c r="K128" s="11"/>
      <c r="L128" s="13"/>
      <c r="M128" s="10"/>
      <c r="N128" s="13"/>
      <c r="O128" s="13"/>
    </row>
    <row r="129" ht="24.9" customHeight="1" spans="2:15">
      <c r="B129" s="9">
        <v>128</v>
      </c>
      <c r="C129" s="10"/>
      <c r="D129" s="10" t="s">
        <v>249</v>
      </c>
      <c r="E129" s="10" t="s">
        <v>31</v>
      </c>
      <c r="F129" s="11">
        <v>0.075</v>
      </c>
      <c r="G129" s="11">
        <v>1090</v>
      </c>
      <c r="H129" s="11">
        <v>50</v>
      </c>
      <c r="I129" s="11">
        <v>2.5</v>
      </c>
      <c r="J129" s="11"/>
      <c r="K129" s="11"/>
      <c r="L129" s="13"/>
      <c r="M129" s="10"/>
      <c r="N129" s="13"/>
      <c r="O129" s="13"/>
    </row>
    <row r="130" ht="24.9" customHeight="1" spans="2:15">
      <c r="B130" s="9">
        <v>129</v>
      </c>
      <c r="C130" s="10" t="s">
        <v>242</v>
      </c>
      <c r="D130" s="10" t="s">
        <v>250</v>
      </c>
      <c r="E130" s="10" t="s">
        <v>251</v>
      </c>
      <c r="F130" s="11">
        <v>0.05</v>
      </c>
      <c r="G130" s="11">
        <v>1090</v>
      </c>
      <c r="H130" s="11">
        <v>200</v>
      </c>
      <c r="I130" s="11">
        <v>4.5</v>
      </c>
      <c r="J130" s="11"/>
      <c r="K130" s="11"/>
      <c r="L130" s="13"/>
      <c r="M130" s="10"/>
      <c r="N130" s="13"/>
      <c r="O130" s="13"/>
    </row>
    <row r="131" ht="24.9" customHeight="1" spans="2:15">
      <c r="B131" s="9">
        <v>130</v>
      </c>
      <c r="C131" s="10" t="s">
        <v>242</v>
      </c>
      <c r="D131" s="10" t="s">
        <v>252</v>
      </c>
      <c r="E131" s="10" t="s">
        <v>251</v>
      </c>
      <c r="F131" s="11">
        <v>0.05</v>
      </c>
      <c r="G131" s="11">
        <v>1090</v>
      </c>
      <c r="H131" s="11">
        <v>200</v>
      </c>
      <c r="I131" s="11">
        <v>3</v>
      </c>
      <c r="J131" s="11"/>
      <c r="K131" s="11"/>
      <c r="L131" s="13"/>
      <c r="M131" s="10"/>
      <c r="N131" s="13"/>
      <c r="O131" s="13"/>
    </row>
    <row r="132" ht="24.9" customHeight="1" spans="2:15">
      <c r="B132" s="9">
        <v>131</v>
      </c>
      <c r="C132" s="10" t="s">
        <v>253</v>
      </c>
      <c r="D132" s="10" t="s">
        <v>254</v>
      </c>
      <c r="E132" s="10" t="s">
        <v>251</v>
      </c>
      <c r="F132" s="11">
        <v>0.05</v>
      </c>
      <c r="G132" s="11">
        <v>1090</v>
      </c>
      <c r="H132" s="11">
        <v>200</v>
      </c>
      <c r="I132" s="11">
        <v>1.5</v>
      </c>
      <c r="J132" s="11"/>
      <c r="K132" s="11"/>
      <c r="L132" s="13"/>
      <c r="M132" s="10"/>
      <c r="N132" s="13"/>
      <c r="O132" s="13"/>
    </row>
    <row r="133" ht="24.9" customHeight="1" spans="2:15">
      <c r="B133" s="9">
        <v>132</v>
      </c>
      <c r="C133" s="10" t="s">
        <v>253</v>
      </c>
      <c r="D133" s="10" t="s">
        <v>255</v>
      </c>
      <c r="E133" s="10" t="s">
        <v>251</v>
      </c>
      <c r="F133" s="11">
        <v>0.05</v>
      </c>
      <c r="G133" s="11">
        <v>1090</v>
      </c>
      <c r="H133" s="11">
        <v>200</v>
      </c>
      <c r="I133" s="11">
        <v>1.5</v>
      </c>
      <c r="J133" s="11"/>
      <c r="K133" s="11"/>
      <c r="L133" s="13"/>
      <c r="M133" s="10"/>
      <c r="N133" s="13"/>
      <c r="O133" s="13"/>
    </row>
    <row r="134" ht="24.9" customHeight="1" spans="2:15">
      <c r="B134" s="9">
        <v>133</v>
      </c>
      <c r="C134" s="10"/>
      <c r="D134" s="10" t="s">
        <v>256</v>
      </c>
      <c r="E134" s="10" t="s">
        <v>251</v>
      </c>
      <c r="F134" s="11">
        <v>0.05</v>
      </c>
      <c r="G134" s="11">
        <v>1090</v>
      </c>
      <c r="H134" s="11">
        <v>200</v>
      </c>
      <c r="I134" s="11">
        <v>1.1</v>
      </c>
      <c r="J134" s="11"/>
      <c r="K134" s="11"/>
      <c r="L134" s="13"/>
      <c r="M134" s="10"/>
      <c r="N134" s="13"/>
      <c r="O134" s="13"/>
    </row>
    <row r="135" ht="24.9" customHeight="1" spans="2:15">
      <c r="B135" s="9">
        <v>134</v>
      </c>
      <c r="C135" s="10"/>
      <c r="D135" s="10" t="s">
        <v>257</v>
      </c>
      <c r="E135" s="10" t="s">
        <v>251</v>
      </c>
      <c r="F135" s="11">
        <v>0.2</v>
      </c>
      <c r="G135" s="11"/>
      <c r="H135" s="11"/>
      <c r="I135" s="11">
        <v>6.5</v>
      </c>
      <c r="J135" s="11"/>
      <c r="K135" s="11"/>
      <c r="L135" s="13"/>
      <c r="M135" s="10"/>
      <c r="N135" s="13"/>
      <c r="O135" s="13"/>
    </row>
    <row r="136" ht="24.9" customHeight="1" spans="2:15">
      <c r="B136" s="9">
        <v>135</v>
      </c>
      <c r="C136" s="10" t="s">
        <v>242</v>
      </c>
      <c r="D136" s="10" t="s">
        <v>258</v>
      </c>
      <c r="E136" s="10" t="s">
        <v>251</v>
      </c>
      <c r="F136" s="11">
        <v>0.075</v>
      </c>
      <c r="G136" s="11">
        <v>1090</v>
      </c>
      <c r="H136" s="11">
        <v>200</v>
      </c>
      <c r="I136" s="11">
        <v>2.2</v>
      </c>
      <c r="J136" s="11"/>
      <c r="K136" s="11"/>
      <c r="L136" s="13"/>
      <c r="M136" s="10"/>
      <c r="N136" s="13"/>
      <c r="O136" s="13"/>
    </row>
    <row r="137" ht="24.9" customHeight="1" spans="2:15">
      <c r="B137" s="9">
        <v>136</v>
      </c>
      <c r="C137" s="10" t="s">
        <v>242</v>
      </c>
      <c r="D137" s="10" t="s">
        <v>259</v>
      </c>
      <c r="E137" s="10" t="s">
        <v>251</v>
      </c>
      <c r="F137" s="11">
        <v>0.075</v>
      </c>
      <c r="G137" s="11">
        <v>1090</v>
      </c>
      <c r="H137" s="11">
        <v>200</v>
      </c>
      <c r="I137" s="11">
        <v>2.2</v>
      </c>
      <c r="J137" s="11"/>
      <c r="K137" s="11"/>
      <c r="L137" s="13"/>
      <c r="M137" s="10"/>
      <c r="N137" s="13"/>
      <c r="O137" s="13"/>
    </row>
    <row r="138" ht="24.9" customHeight="1" spans="2:15">
      <c r="B138" s="9">
        <v>137</v>
      </c>
      <c r="C138" s="10" t="s">
        <v>242</v>
      </c>
      <c r="D138" s="10" t="s">
        <v>260</v>
      </c>
      <c r="E138" s="10" t="s">
        <v>251</v>
      </c>
      <c r="F138" s="11">
        <v>0.075</v>
      </c>
      <c r="G138" s="11">
        <v>1090</v>
      </c>
      <c r="H138" s="11">
        <v>200</v>
      </c>
      <c r="I138" s="11">
        <v>6.3</v>
      </c>
      <c r="J138" s="11"/>
      <c r="K138" s="11"/>
      <c r="L138" s="13"/>
      <c r="M138" s="10"/>
      <c r="N138" s="13"/>
      <c r="O138" s="13"/>
    </row>
    <row r="139" ht="24.9" customHeight="1" spans="2:15">
      <c r="B139" s="9">
        <v>138</v>
      </c>
      <c r="C139" s="10" t="s">
        <v>261</v>
      </c>
      <c r="D139" s="10" t="s">
        <v>262</v>
      </c>
      <c r="E139" s="10" t="s">
        <v>251</v>
      </c>
      <c r="F139" s="11">
        <v>0.025</v>
      </c>
      <c r="G139" s="11">
        <v>1090</v>
      </c>
      <c r="H139" s="11">
        <v>200</v>
      </c>
      <c r="I139" s="11">
        <v>1.3</v>
      </c>
      <c r="J139" s="11"/>
      <c r="K139" s="11"/>
      <c r="L139" s="13"/>
      <c r="M139" s="10"/>
      <c r="N139" s="13"/>
      <c r="O139" s="13"/>
    </row>
    <row r="140" ht="24.9" customHeight="1" spans="2:15">
      <c r="B140" s="9">
        <v>139</v>
      </c>
      <c r="C140" s="10" t="s">
        <v>261</v>
      </c>
      <c r="D140" s="10" t="s">
        <v>263</v>
      </c>
      <c r="E140" s="10" t="s">
        <v>251</v>
      </c>
      <c r="F140" s="11">
        <v>0.075</v>
      </c>
      <c r="G140" s="11">
        <v>1090</v>
      </c>
      <c r="H140" s="11">
        <v>200</v>
      </c>
      <c r="I140" s="11">
        <v>3.5</v>
      </c>
      <c r="J140" s="11"/>
      <c r="K140" s="11"/>
      <c r="L140" s="13"/>
      <c r="M140" s="10"/>
      <c r="N140" s="13"/>
      <c r="O140" s="13"/>
    </row>
    <row r="141" ht="24.9" customHeight="1" spans="2:15">
      <c r="B141" s="9">
        <v>140</v>
      </c>
      <c r="C141" s="10"/>
      <c r="D141" s="10" t="s">
        <v>264</v>
      </c>
      <c r="E141" s="10" t="s">
        <v>251</v>
      </c>
      <c r="F141" s="11">
        <v>0.075</v>
      </c>
      <c r="G141" s="11">
        <v>1090</v>
      </c>
      <c r="H141" s="11">
        <v>200</v>
      </c>
      <c r="I141" s="11">
        <v>5</v>
      </c>
      <c r="J141" s="11"/>
      <c r="K141" s="11"/>
      <c r="L141" s="13"/>
      <c r="M141" s="10"/>
      <c r="N141" s="13"/>
      <c r="O141" s="13"/>
    </row>
    <row r="142" ht="24.9" customHeight="1" spans="2:15">
      <c r="B142" s="9">
        <v>141</v>
      </c>
      <c r="C142" s="10" t="s">
        <v>265</v>
      </c>
      <c r="D142" s="10" t="s">
        <v>266</v>
      </c>
      <c r="E142" s="10" t="s">
        <v>251</v>
      </c>
      <c r="F142" s="11">
        <v>0.05</v>
      </c>
      <c r="G142" s="11">
        <v>1090</v>
      </c>
      <c r="H142" s="11">
        <v>200</v>
      </c>
      <c r="I142" s="11">
        <v>1</v>
      </c>
      <c r="J142" s="11"/>
      <c r="K142" s="11"/>
      <c r="L142" s="13"/>
      <c r="M142" s="10"/>
      <c r="N142" s="13"/>
      <c r="O142" s="13"/>
    </row>
    <row r="143" ht="24.9" customHeight="1" spans="2:15">
      <c r="B143" s="9">
        <v>142</v>
      </c>
      <c r="C143" s="10" t="s">
        <v>242</v>
      </c>
      <c r="D143" s="10" t="s">
        <v>267</v>
      </c>
      <c r="E143" s="10" t="s">
        <v>251</v>
      </c>
      <c r="F143" s="11">
        <v>0.075</v>
      </c>
      <c r="G143" s="11">
        <v>1090</v>
      </c>
      <c r="H143" s="11">
        <v>200</v>
      </c>
      <c r="I143" s="11">
        <v>2.1</v>
      </c>
      <c r="J143" s="11"/>
      <c r="K143" s="11"/>
      <c r="L143" s="13"/>
      <c r="M143" s="10"/>
      <c r="N143" s="13"/>
      <c r="O143" s="13"/>
    </row>
    <row r="144" ht="24.9" customHeight="1" spans="2:15">
      <c r="B144" s="9">
        <v>143</v>
      </c>
      <c r="C144" s="10" t="s">
        <v>268</v>
      </c>
      <c r="D144" s="10" t="s">
        <v>269</v>
      </c>
      <c r="E144" s="10" t="s">
        <v>251</v>
      </c>
      <c r="F144" s="11">
        <v>0.09</v>
      </c>
      <c r="G144" s="11">
        <v>1090</v>
      </c>
      <c r="H144" s="11">
        <v>200</v>
      </c>
      <c r="I144" s="11">
        <v>7</v>
      </c>
      <c r="J144" s="11"/>
      <c r="K144" s="11"/>
      <c r="L144" s="13"/>
      <c r="M144" s="10"/>
      <c r="N144" s="13"/>
      <c r="O144" s="13"/>
    </row>
    <row r="145" ht="24.9" customHeight="1" spans="2:15">
      <c r="B145" s="9">
        <v>144</v>
      </c>
      <c r="C145" s="10" t="s">
        <v>242</v>
      </c>
      <c r="D145" s="10" t="s">
        <v>270</v>
      </c>
      <c r="E145" s="10" t="s">
        <v>271</v>
      </c>
      <c r="F145" s="11"/>
      <c r="G145" s="11">
        <v>100</v>
      </c>
      <c r="H145" s="11">
        <v>200</v>
      </c>
      <c r="I145" s="11"/>
      <c r="J145" s="11"/>
      <c r="K145" s="11"/>
      <c r="L145" s="13"/>
      <c r="M145" s="10"/>
      <c r="N145" s="13"/>
      <c r="O145" s="13"/>
    </row>
    <row r="146" ht="24.9" customHeight="1" spans="2:15">
      <c r="B146" s="9">
        <v>145</v>
      </c>
      <c r="C146" s="10" t="s">
        <v>272</v>
      </c>
      <c r="D146" s="10" t="s">
        <v>272</v>
      </c>
      <c r="E146" s="10" t="s">
        <v>73</v>
      </c>
      <c r="F146" s="11"/>
      <c r="G146" s="11">
        <v>1020</v>
      </c>
      <c r="H146" s="11">
        <v>400</v>
      </c>
      <c r="I146" s="11"/>
      <c r="J146" s="11"/>
      <c r="K146" s="11"/>
      <c r="L146" s="13"/>
      <c r="M146" s="10"/>
      <c r="N146" s="13"/>
      <c r="O146" s="13"/>
    </row>
    <row r="147" ht="24.9" customHeight="1" spans="2:15">
      <c r="B147" s="9">
        <v>147</v>
      </c>
      <c r="C147" s="10" t="s">
        <v>273</v>
      </c>
      <c r="D147" s="10" t="s">
        <v>274</v>
      </c>
      <c r="E147" s="10" t="s">
        <v>275</v>
      </c>
      <c r="F147" s="11">
        <v>0.06</v>
      </c>
      <c r="G147" s="11">
        <v>1090</v>
      </c>
      <c r="H147" s="11">
        <v>300</v>
      </c>
      <c r="I147" s="11">
        <v>1.2</v>
      </c>
      <c r="J147" s="11"/>
      <c r="K147" s="11"/>
      <c r="L147" s="13"/>
      <c r="M147" s="10"/>
      <c r="N147" s="13"/>
      <c r="O147" s="13"/>
    </row>
    <row r="148" ht="24.9" customHeight="1" spans="2:15">
      <c r="B148" s="9">
        <v>148</v>
      </c>
      <c r="C148" s="10" t="s">
        <v>273</v>
      </c>
      <c r="D148" s="10" t="s">
        <v>276</v>
      </c>
      <c r="E148" s="10" t="s">
        <v>275</v>
      </c>
      <c r="F148" s="11">
        <v>0.08</v>
      </c>
      <c r="G148" s="11">
        <v>1090</v>
      </c>
      <c r="H148" s="11">
        <v>300</v>
      </c>
      <c r="I148" s="11">
        <v>1.5</v>
      </c>
      <c r="J148" s="11"/>
      <c r="K148" s="11"/>
      <c r="L148" s="13"/>
      <c r="M148" s="10"/>
      <c r="N148" s="13"/>
      <c r="O148" s="13"/>
    </row>
    <row r="149" ht="24.9" customHeight="1" spans="2:15">
      <c r="B149" s="9">
        <v>149</v>
      </c>
      <c r="C149" s="10" t="s">
        <v>277</v>
      </c>
      <c r="D149" s="10" t="s">
        <v>278</v>
      </c>
      <c r="E149" s="10" t="s">
        <v>279</v>
      </c>
      <c r="F149" s="11"/>
      <c r="G149" s="11">
        <v>1240</v>
      </c>
      <c r="H149" s="11">
        <v>400</v>
      </c>
      <c r="I149" s="11"/>
      <c r="J149" s="11"/>
      <c r="K149" s="11"/>
      <c r="L149" s="13"/>
      <c r="M149" s="10"/>
      <c r="N149" s="13"/>
      <c r="O149" s="13"/>
    </row>
    <row r="150" ht="24.9" customHeight="1" spans="2:15">
      <c r="B150" s="9">
        <v>150</v>
      </c>
      <c r="C150" s="10" t="s">
        <v>265</v>
      </c>
      <c r="D150" s="10" t="s">
        <v>280</v>
      </c>
      <c r="E150" s="10" t="s">
        <v>279</v>
      </c>
      <c r="F150" s="11">
        <v>0.05</v>
      </c>
      <c r="G150" s="11">
        <v>1280</v>
      </c>
      <c r="H150" s="11">
        <v>200</v>
      </c>
      <c r="I150" s="11">
        <v>1.1</v>
      </c>
      <c r="J150" s="11"/>
      <c r="K150" s="11"/>
      <c r="L150" s="13"/>
      <c r="M150" s="10"/>
      <c r="N150" s="13"/>
      <c r="O150" s="13"/>
    </row>
    <row r="151" ht="24.9" customHeight="1" spans="2:15">
      <c r="B151" s="9">
        <v>151</v>
      </c>
      <c r="C151" s="10" t="s">
        <v>265</v>
      </c>
      <c r="D151" s="10" t="s">
        <v>281</v>
      </c>
      <c r="E151" s="10" t="s">
        <v>279</v>
      </c>
      <c r="F151" s="11">
        <v>0.05</v>
      </c>
      <c r="G151" s="11">
        <v>1200</v>
      </c>
      <c r="H151" s="11">
        <v>200</v>
      </c>
      <c r="I151" s="11">
        <v>1.1</v>
      </c>
      <c r="J151" s="11"/>
      <c r="K151" s="11"/>
      <c r="L151" s="13"/>
      <c r="M151" s="10"/>
      <c r="N151" s="13"/>
      <c r="O151" s="13"/>
    </row>
    <row r="152" ht="24.9" customHeight="1" spans="2:15">
      <c r="B152" s="9">
        <v>152</v>
      </c>
      <c r="C152" s="10" t="s">
        <v>282</v>
      </c>
      <c r="D152" s="10" t="s">
        <v>283</v>
      </c>
      <c r="E152" s="10" t="s">
        <v>279</v>
      </c>
      <c r="F152" s="11">
        <v>0.05</v>
      </c>
      <c r="G152" s="11">
        <v>1240</v>
      </c>
      <c r="H152" s="11">
        <v>200</v>
      </c>
      <c r="I152" s="11"/>
      <c r="J152" s="11"/>
      <c r="K152" s="11">
        <v>1</v>
      </c>
      <c r="L152" s="10"/>
      <c r="M152" s="13"/>
      <c r="N152" s="13"/>
      <c r="O152" s="13"/>
    </row>
    <row r="153" ht="24.9" customHeight="1" spans="2:15">
      <c r="B153" s="9">
        <v>153</v>
      </c>
      <c r="C153" s="10" t="s">
        <v>284</v>
      </c>
      <c r="D153" s="10" t="s">
        <v>285</v>
      </c>
      <c r="E153" s="10" t="s">
        <v>279</v>
      </c>
      <c r="F153" s="11">
        <v>0.05</v>
      </c>
      <c r="G153" s="11">
        <v>1240</v>
      </c>
      <c r="H153" s="11">
        <v>200</v>
      </c>
      <c r="I153" s="11"/>
      <c r="J153" s="11"/>
      <c r="K153" s="11">
        <v>1</v>
      </c>
      <c r="L153" s="10" t="s">
        <v>286</v>
      </c>
      <c r="M153" s="13"/>
      <c r="N153" s="13"/>
      <c r="O153" s="13"/>
    </row>
    <row r="154" ht="24.9" customHeight="1" spans="2:15">
      <c r="B154" s="9">
        <v>154</v>
      </c>
      <c r="C154" s="10" t="s">
        <v>273</v>
      </c>
      <c r="D154" s="10" t="s">
        <v>287</v>
      </c>
      <c r="E154" s="10" t="s">
        <v>120</v>
      </c>
      <c r="F154" s="11">
        <v>0.08</v>
      </c>
      <c r="G154" s="11">
        <v>1090</v>
      </c>
      <c r="H154" s="11">
        <v>100</v>
      </c>
      <c r="I154" s="11"/>
      <c r="J154" s="11"/>
      <c r="K154" s="11"/>
      <c r="L154" s="13"/>
      <c r="M154" s="10"/>
      <c r="N154" s="13"/>
      <c r="O154" s="13"/>
    </row>
    <row r="155" ht="24.9" customHeight="1" spans="2:15">
      <c r="B155" s="9">
        <v>155</v>
      </c>
      <c r="C155" s="10" t="s">
        <v>261</v>
      </c>
      <c r="D155" s="10" t="s">
        <v>288</v>
      </c>
      <c r="E155" s="10" t="s">
        <v>120</v>
      </c>
      <c r="F155" s="11">
        <v>0.1</v>
      </c>
      <c r="G155" s="11">
        <v>1090</v>
      </c>
      <c r="H155" s="11">
        <v>200</v>
      </c>
      <c r="I155" s="11">
        <v>4.8</v>
      </c>
      <c r="J155" s="11"/>
      <c r="K155" s="11"/>
      <c r="L155" s="10"/>
      <c r="M155" s="13"/>
      <c r="N155" s="13"/>
      <c r="O155" s="13" t="s">
        <v>289</v>
      </c>
    </row>
    <row r="156" ht="24.9" customHeight="1" spans="2:15">
      <c r="B156" s="9">
        <v>156</v>
      </c>
      <c r="C156" s="10" t="s">
        <v>261</v>
      </c>
      <c r="D156" s="10" t="s">
        <v>290</v>
      </c>
      <c r="E156" s="10" t="s">
        <v>120</v>
      </c>
      <c r="F156" s="11">
        <v>0.08</v>
      </c>
      <c r="G156" s="11">
        <v>1090</v>
      </c>
      <c r="H156" s="11">
        <v>200</v>
      </c>
      <c r="I156" s="11">
        <v>2.8</v>
      </c>
      <c r="J156" s="11"/>
      <c r="K156" s="11"/>
      <c r="L156" s="10"/>
      <c r="M156" s="13"/>
      <c r="N156" s="13"/>
      <c r="O156" s="13"/>
    </row>
    <row r="157" ht="24.9" customHeight="1" spans="2:15">
      <c r="B157" s="9">
        <v>157</v>
      </c>
      <c r="C157" s="10" t="s">
        <v>273</v>
      </c>
      <c r="D157" s="10" t="s">
        <v>291</v>
      </c>
      <c r="E157" s="10" t="s">
        <v>120</v>
      </c>
      <c r="F157" s="11"/>
      <c r="G157" s="11">
        <v>1090</v>
      </c>
      <c r="H157" s="11">
        <v>100</v>
      </c>
      <c r="I157" s="11">
        <v>2.3</v>
      </c>
      <c r="J157" s="11"/>
      <c r="K157" s="11"/>
      <c r="L157" s="10"/>
      <c r="M157" s="13"/>
      <c r="N157" s="13"/>
      <c r="O157" s="13"/>
    </row>
    <row r="158" ht="24.9" customHeight="1" spans="2:15">
      <c r="B158" s="9">
        <v>158</v>
      </c>
      <c r="C158" s="10" t="s">
        <v>273</v>
      </c>
      <c r="D158" s="10" t="s">
        <v>292</v>
      </c>
      <c r="E158" s="10" t="s">
        <v>120</v>
      </c>
      <c r="F158" s="11"/>
      <c r="G158" s="11">
        <v>1090</v>
      </c>
      <c r="H158" s="11">
        <v>200</v>
      </c>
      <c r="I158" s="11">
        <v>2.5</v>
      </c>
      <c r="J158" s="11"/>
      <c r="K158" s="11"/>
      <c r="L158" s="10"/>
      <c r="M158" s="13"/>
      <c r="N158" s="13"/>
      <c r="O158" s="13"/>
    </row>
    <row r="159" ht="24.9" customHeight="1" spans="2:15">
      <c r="B159" s="9">
        <v>159</v>
      </c>
      <c r="C159" s="10" t="s">
        <v>242</v>
      </c>
      <c r="D159" s="10" t="s">
        <v>293</v>
      </c>
      <c r="E159" s="10" t="s">
        <v>294</v>
      </c>
      <c r="F159" s="11">
        <v>0.05</v>
      </c>
      <c r="G159" s="11"/>
      <c r="H159" s="11"/>
      <c r="I159" s="11">
        <v>7.5</v>
      </c>
      <c r="J159" s="11"/>
      <c r="K159" s="11"/>
      <c r="L159" s="13" t="s">
        <v>295</v>
      </c>
      <c r="M159" s="10">
        <v>13433024256</v>
      </c>
      <c r="N159" s="13"/>
      <c r="O159" s="13"/>
    </row>
    <row r="160" ht="24.9" customHeight="1" spans="2:15">
      <c r="B160" s="9">
        <v>160</v>
      </c>
      <c r="C160" s="22" t="s">
        <v>296</v>
      </c>
      <c r="D160" s="32" t="s">
        <v>297</v>
      </c>
      <c r="E160" s="22" t="s">
        <v>298</v>
      </c>
      <c r="F160" s="20">
        <v>0.06</v>
      </c>
      <c r="G160" s="33">
        <v>1200</v>
      </c>
      <c r="H160" s="20">
        <v>200</v>
      </c>
      <c r="I160" s="20">
        <v>6.8</v>
      </c>
      <c r="J160" s="23"/>
      <c r="K160" s="23"/>
      <c r="L160" s="22"/>
      <c r="M160" s="23"/>
      <c r="N160" s="25"/>
      <c r="O160" s="25"/>
    </row>
    <row r="161" ht="21" customHeight="1" spans="2:15">
      <c r="B161" s="9">
        <v>161</v>
      </c>
      <c r="C161" s="10" t="s">
        <v>299</v>
      </c>
      <c r="D161" s="10" t="s">
        <v>300</v>
      </c>
      <c r="E161" s="10"/>
      <c r="F161" s="11">
        <v>1</v>
      </c>
      <c r="G161" s="11">
        <v>520</v>
      </c>
      <c r="H161" s="11">
        <v>100</v>
      </c>
      <c r="I161" s="11">
        <v>70</v>
      </c>
      <c r="J161" s="11"/>
      <c r="K161" s="11"/>
      <c r="L161" s="10"/>
      <c r="M161" s="13"/>
      <c r="N161" s="13"/>
      <c r="O161" s="13"/>
    </row>
    <row r="162" ht="21" customHeight="1" spans="2:15">
      <c r="B162" s="9">
        <v>162</v>
      </c>
      <c r="C162" s="10" t="s">
        <v>48</v>
      </c>
      <c r="D162" s="10" t="s">
        <v>301</v>
      </c>
      <c r="E162" s="10" t="s">
        <v>44</v>
      </c>
      <c r="F162" s="11"/>
      <c r="G162" s="11">
        <v>600</v>
      </c>
      <c r="H162" s="11">
        <v>33</v>
      </c>
      <c r="I162" s="11">
        <f>2450/0.6/33</f>
        <v>123.737373737374</v>
      </c>
      <c r="J162" s="11"/>
      <c r="K162" s="11"/>
      <c r="L162" s="10"/>
      <c r="M162" s="13"/>
      <c r="N162" s="13"/>
      <c r="O162" s="13"/>
    </row>
    <row r="163" ht="21" customHeight="1" spans="2:15">
      <c r="B163" s="9">
        <v>163</v>
      </c>
      <c r="C163" s="10" t="s">
        <v>261</v>
      </c>
      <c r="D163" s="10" t="s">
        <v>302</v>
      </c>
      <c r="E163" s="10" t="s">
        <v>120</v>
      </c>
      <c r="F163" s="11">
        <v>0.1</v>
      </c>
      <c r="G163" s="11">
        <v>1090</v>
      </c>
      <c r="H163" s="11">
        <v>200</v>
      </c>
      <c r="I163" s="11">
        <v>4.8</v>
      </c>
      <c r="J163" s="11"/>
      <c r="K163" s="11"/>
      <c r="L163" s="10"/>
      <c r="M163" s="13"/>
      <c r="N163" s="13"/>
      <c r="O163" s="13" t="s">
        <v>289</v>
      </c>
    </row>
    <row r="164" ht="21" customHeight="1" spans="2:15">
      <c r="B164" s="9">
        <v>164</v>
      </c>
      <c r="C164" s="10" t="s">
        <v>233</v>
      </c>
      <c r="D164" s="10" t="s">
        <v>303</v>
      </c>
      <c r="E164" s="10" t="s">
        <v>235</v>
      </c>
      <c r="F164" s="11">
        <v>0.4</v>
      </c>
      <c r="G164" s="11">
        <v>980</v>
      </c>
      <c r="H164" s="11">
        <v>50</v>
      </c>
      <c r="I164" s="11">
        <v>190</v>
      </c>
      <c r="J164" s="11"/>
      <c r="K164" s="11"/>
      <c r="L164" s="10"/>
      <c r="M164" s="13"/>
      <c r="N164" s="13"/>
      <c r="O164" s="13"/>
    </row>
    <row r="165" ht="21" customHeight="1" spans="2:15">
      <c r="B165" s="9">
        <v>165</v>
      </c>
      <c r="C165" s="10" t="s">
        <v>261</v>
      </c>
      <c r="D165" s="10" t="s">
        <v>304</v>
      </c>
      <c r="E165" s="10" t="s">
        <v>251</v>
      </c>
      <c r="F165" s="11">
        <v>0.075</v>
      </c>
      <c r="G165" s="11">
        <v>1090</v>
      </c>
      <c r="H165" s="11">
        <v>200</v>
      </c>
      <c r="I165" s="11">
        <v>3.5</v>
      </c>
      <c r="J165" s="11"/>
      <c r="K165" s="11"/>
      <c r="L165" s="10"/>
      <c r="M165" s="13"/>
      <c r="N165" s="13"/>
      <c r="O165" s="13"/>
    </row>
    <row r="166" ht="21" customHeight="1" spans="2:15">
      <c r="B166" s="9">
        <v>166</v>
      </c>
      <c r="C166" s="34" t="s">
        <v>233</v>
      </c>
      <c r="D166" s="34" t="s">
        <v>305</v>
      </c>
      <c r="E166" s="34" t="s">
        <v>235</v>
      </c>
      <c r="F166" s="35">
        <v>0.2</v>
      </c>
      <c r="G166" s="35">
        <v>980</v>
      </c>
      <c r="H166" s="35">
        <v>50</v>
      </c>
      <c r="I166" s="35">
        <v>190</v>
      </c>
      <c r="J166" s="35"/>
      <c r="K166" s="35"/>
      <c r="L166" s="34"/>
      <c r="M166" s="36"/>
      <c r="N166" s="36"/>
      <c r="O166" s="36"/>
    </row>
    <row r="167" ht="13.9" spans="2:15">
      <c r="B167" s="9">
        <v>167</v>
      </c>
      <c r="C167" s="34" t="s">
        <v>48</v>
      </c>
      <c r="D167" s="34" t="s">
        <v>306</v>
      </c>
      <c r="E167" s="34" t="s">
        <v>44</v>
      </c>
      <c r="F167" s="35">
        <v>0.2</v>
      </c>
      <c r="G167" s="35">
        <v>1200</v>
      </c>
      <c r="H167" s="35">
        <v>50</v>
      </c>
      <c r="I167" s="35">
        <f>3750/1.2/50</f>
        <v>62.5</v>
      </c>
      <c r="J167" s="37"/>
      <c r="K167" s="35"/>
      <c r="L167" s="34"/>
      <c r="M167" s="36"/>
      <c r="N167" s="36"/>
      <c r="O167" s="36"/>
    </row>
    <row r="168" ht="22.95" customHeight="1" spans="2:15">
      <c r="B168" s="9">
        <v>168</v>
      </c>
      <c r="C168" s="38" t="s">
        <v>261</v>
      </c>
      <c r="D168" s="39" t="s">
        <v>307</v>
      </c>
      <c r="E168" s="39" t="s">
        <v>31</v>
      </c>
      <c r="F168" s="40">
        <v>0.075</v>
      </c>
      <c r="G168" s="40">
        <v>1090</v>
      </c>
      <c r="H168" s="40">
        <v>200</v>
      </c>
      <c r="I168" s="41">
        <v>4.3</v>
      </c>
      <c r="K168" s="40"/>
      <c r="L168" s="39"/>
      <c r="M168" s="40"/>
      <c r="N168" s="42"/>
      <c r="O168" s="42"/>
    </row>
    <row r="169" ht="30" customHeight="1" spans="2:15">
      <c r="B169" s="9">
        <v>169</v>
      </c>
      <c r="C169" s="43" t="s">
        <v>100</v>
      </c>
      <c r="D169" s="34" t="s">
        <v>97</v>
      </c>
      <c r="E169" s="44" t="s">
        <v>98</v>
      </c>
      <c r="F169" s="35">
        <v>0.2</v>
      </c>
      <c r="G169" s="35">
        <v>1020</v>
      </c>
      <c r="H169" s="35">
        <v>100</v>
      </c>
      <c r="I169" s="35">
        <v>36.5</v>
      </c>
      <c r="J169" s="37"/>
      <c r="K169" s="35"/>
      <c r="L169" s="34"/>
      <c r="M169" s="36"/>
      <c r="N169" s="36"/>
      <c r="O169" s="36"/>
    </row>
    <row r="170" ht="33" customHeight="1" spans="2:15">
      <c r="B170" s="9">
        <v>170</v>
      </c>
      <c r="C170" s="38" t="s">
        <v>48</v>
      </c>
      <c r="D170" s="39" t="s">
        <v>308</v>
      </c>
      <c r="E170" s="39" t="s">
        <v>162</v>
      </c>
      <c r="F170" s="40">
        <v>0.13</v>
      </c>
      <c r="G170" s="40">
        <v>1370</v>
      </c>
      <c r="H170" s="40">
        <v>55</v>
      </c>
      <c r="I170" s="41">
        <f>2250/1.37/55</f>
        <v>29.8606502986065</v>
      </c>
      <c r="K170" s="40"/>
      <c r="L170" s="39"/>
      <c r="M170" s="40"/>
      <c r="N170" s="42"/>
      <c r="O170" s="42"/>
    </row>
    <row r="171" ht="33" customHeight="1" spans="2:15">
      <c r="B171" s="9">
        <v>171</v>
      </c>
      <c r="C171" s="38" t="s">
        <v>214</v>
      </c>
      <c r="D171" s="39" t="s">
        <v>309</v>
      </c>
      <c r="E171" s="39" t="s">
        <v>214</v>
      </c>
      <c r="F171" s="40">
        <v>0.4</v>
      </c>
      <c r="G171" s="40">
        <v>1050</v>
      </c>
      <c r="H171" s="40">
        <v>50</v>
      </c>
      <c r="I171" s="41">
        <v>38</v>
      </c>
      <c r="K171" s="40"/>
      <c r="L171" s="39"/>
      <c r="M171" s="40"/>
      <c r="N171" s="42"/>
      <c r="O171" s="42"/>
    </row>
    <row r="172" ht="13.9" spans="2:15">
      <c r="B172" s="9">
        <v>172</v>
      </c>
      <c r="C172" s="45" t="s">
        <v>89</v>
      </c>
      <c r="D172" s="46" t="s">
        <v>310</v>
      </c>
      <c r="E172" s="46" t="s">
        <v>91</v>
      </c>
      <c r="F172" s="47">
        <v>0.06</v>
      </c>
      <c r="G172" s="47">
        <v>1250</v>
      </c>
      <c r="H172" s="47">
        <v>100</v>
      </c>
      <c r="I172" s="47">
        <v>150</v>
      </c>
      <c r="K172" s="47"/>
      <c r="L172" s="46"/>
      <c r="M172" s="48"/>
      <c r="N172" s="48"/>
      <c r="O172" s="48"/>
    </row>
    <row r="173" ht="13.9" spans="2:15">
      <c r="B173" s="9">
        <v>173</v>
      </c>
      <c r="C173" s="45" t="s">
        <v>173</v>
      </c>
      <c r="D173" s="46" t="s">
        <v>311</v>
      </c>
      <c r="E173" s="46" t="s">
        <v>117</v>
      </c>
      <c r="F173" s="47">
        <v>0.03</v>
      </c>
      <c r="G173" s="47">
        <v>1070</v>
      </c>
      <c r="H173" s="47">
        <v>100</v>
      </c>
      <c r="I173" s="47">
        <v>10</v>
      </c>
      <c r="K173" s="47"/>
      <c r="L173" s="46"/>
      <c r="M173" s="48"/>
      <c r="N173" s="48"/>
      <c r="O173" s="48"/>
    </row>
    <row r="174" ht="13.9" spans="2:15">
      <c r="B174" s="9">
        <v>174</v>
      </c>
      <c r="C174" s="45" t="s">
        <v>227</v>
      </c>
      <c r="D174" s="46" t="s">
        <v>312</v>
      </c>
      <c r="E174" s="46" t="s">
        <v>167</v>
      </c>
      <c r="F174" s="47">
        <v>0.1</v>
      </c>
      <c r="G174" s="47">
        <v>1250</v>
      </c>
      <c r="H174" s="47">
        <v>100</v>
      </c>
      <c r="I174" s="47">
        <v>36.8</v>
      </c>
      <c r="K174" s="47"/>
      <c r="L174" s="46"/>
      <c r="M174" s="48"/>
      <c r="N174" s="48"/>
      <c r="O174" s="48"/>
    </row>
    <row r="175" ht="13.9" spans="2:15">
      <c r="B175" s="9">
        <v>175</v>
      </c>
      <c r="C175" s="45"/>
      <c r="D175" s="46" t="s">
        <v>313</v>
      </c>
      <c r="E175" s="46" t="s">
        <v>195</v>
      </c>
      <c r="F175" s="47">
        <v>0.03</v>
      </c>
      <c r="G175" s="47">
        <v>520</v>
      </c>
      <c r="H175" s="47">
        <v>100</v>
      </c>
      <c r="I175" s="47">
        <v>45</v>
      </c>
      <c r="K175" s="47"/>
      <c r="L175" s="46"/>
      <c r="M175" s="48"/>
      <c r="N175" s="48"/>
      <c r="O175" s="48"/>
    </row>
    <row r="176" ht="13.9" spans="2:15">
      <c r="B176" s="9">
        <v>176</v>
      </c>
      <c r="C176" s="45"/>
      <c r="D176" s="46" t="s">
        <v>314</v>
      </c>
      <c r="E176" s="46" t="s">
        <v>117</v>
      </c>
      <c r="F176" s="47">
        <v>0.01</v>
      </c>
      <c r="G176" s="47">
        <v>520</v>
      </c>
      <c r="H176" s="47">
        <v>100</v>
      </c>
      <c r="I176" s="47">
        <v>5.3</v>
      </c>
      <c r="K176" s="47"/>
      <c r="L176" s="46"/>
      <c r="M176" s="48"/>
      <c r="N176" s="48"/>
      <c r="O176" s="48"/>
    </row>
    <row r="177" ht="13.9" spans="2:15">
      <c r="B177" s="9">
        <v>177</v>
      </c>
      <c r="C177" s="45" t="s">
        <v>48</v>
      </c>
      <c r="D177" s="46" t="s">
        <v>315</v>
      </c>
      <c r="E177" s="46" t="s">
        <v>162</v>
      </c>
      <c r="F177" s="47"/>
      <c r="G177" s="47">
        <v>600</v>
      </c>
      <c r="H177" s="47">
        <v>66</v>
      </c>
      <c r="I177" s="47">
        <v>186</v>
      </c>
      <c r="K177" s="47"/>
      <c r="L177" s="46"/>
      <c r="M177" s="48"/>
      <c r="N177" s="48"/>
      <c r="O177" s="48"/>
    </row>
    <row r="178" ht="13.9" spans="2:15">
      <c r="B178" s="9">
        <v>178</v>
      </c>
      <c r="C178" s="45" t="s">
        <v>316</v>
      </c>
      <c r="D178" s="46" t="s">
        <v>317</v>
      </c>
      <c r="E178" s="46" t="s">
        <v>318</v>
      </c>
      <c r="F178" s="47">
        <v>0.025</v>
      </c>
      <c r="G178" s="47">
        <v>515</v>
      </c>
      <c r="H178" s="47">
        <v>100</v>
      </c>
      <c r="I178" s="47"/>
      <c r="K178" s="47"/>
      <c r="L178" s="46"/>
      <c r="M178" s="48"/>
      <c r="N178" s="48"/>
      <c r="O178" s="48"/>
    </row>
    <row r="179" ht="13.9" spans="2:15">
      <c r="B179" s="9">
        <v>179</v>
      </c>
      <c r="C179" s="45"/>
      <c r="D179" s="46" t="s">
        <v>319</v>
      </c>
      <c r="E179" s="46" t="s">
        <v>320</v>
      </c>
      <c r="F179" s="47">
        <v>0.025</v>
      </c>
      <c r="G179" s="47">
        <v>250</v>
      </c>
      <c r="H179" s="47">
        <v>100</v>
      </c>
      <c r="I179" s="47">
        <f>1950/G179*1000/H179</f>
        <v>78</v>
      </c>
      <c r="K179" s="47"/>
      <c r="L179" s="46"/>
      <c r="M179" s="48"/>
      <c r="N179" s="48"/>
      <c r="O179" s="48"/>
    </row>
    <row r="180" ht="13.9" spans="2:15">
      <c r="B180" s="9">
        <v>180</v>
      </c>
      <c r="C180" s="45" t="s">
        <v>321</v>
      </c>
      <c r="D180" s="46" t="s">
        <v>322</v>
      </c>
      <c r="E180" s="46" t="s">
        <v>195</v>
      </c>
      <c r="F180" s="47">
        <v>0.03</v>
      </c>
      <c r="G180" s="47">
        <v>380</v>
      </c>
      <c r="H180" s="47">
        <v>100</v>
      </c>
      <c r="I180" s="47">
        <v>68</v>
      </c>
      <c r="K180" s="47"/>
      <c r="L180" s="46"/>
      <c r="M180" s="48"/>
      <c r="N180" s="48"/>
      <c r="O180" s="48"/>
    </row>
    <row r="181" ht="13.9" spans="2:15">
      <c r="B181" s="9">
        <v>181</v>
      </c>
      <c r="C181" s="45" t="s">
        <v>268</v>
      </c>
      <c r="D181" s="46" t="s">
        <v>323</v>
      </c>
      <c r="E181" s="46" t="s">
        <v>324</v>
      </c>
      <c r="F181" s="47">
        <v>0.06</v>
      </c>
      <c r="G181" s="47">
        <v>1080</v>
      </c>
      <c r="H181" s="47">
        <v>400</v>
      </c>
      <c r="I181" s="47">
        <v>8.9</v>
      </c>
      <c r="K181" s="47"/>
      <c r="L181" s="46"/>
      <c r="M181" s="48"/>
      <c r="N181" s="48"/>
      <c r="O181" s="48"/>
    </row>
    <row r="182" ht="13.9" spans="2:15">
      <c r="B182" s="9">
        <v>182</v>
      </c>
      <c r="C182" s="45" t="s">
        <v>48</v>
      </c>
      <c r="D182" s="46" t="s">
        <v>325</v>
      </c>
      <c r="E182" s="46" t="s">
        <v>44</v>
      </c>
      <c r="F182" s="47">
        <v>0.8</v>
      </c>
      <c r="G182" s="47">
        <v>600</v>
      </c>
      <c r="H182" s="47">
        <v>25</v>
      </c>
      <c r="I182" s="49">
        <f>7300/G182/H182*1000</f>
        <v>486.666666666667</v>
      </c>
      <c r="K182" s="47"/>
      <c r="L182" s="46"/>
      <c r="M182" s="48"/>
      <c r="N182" s="48"/>
      <c r="O182" s="48"/>
    </row>
    <row r="183" ht="13.9" spans="2:15">
      <c r="B183" s="9">
        <v>183</v>
      </c>
      <c r="C183" s="45" t="s">
        <v>326</v>
      </c>
      <c r="D183" s="46" t="s">
        <v>327</v>
      </c>
      <c r="E183" s="46" t="s">
        <v>117</v>
      </c>
      <c r="F183" s="47">
        <v>0.5</v>
      </c>
      <c r="G183" s="47">
        <v>1050</v>
      </c>
      <c r="H183" s="47">
        <v>30</v>
      </c>
      <c r="I183" s="47">
        <v>65</v>
      </c>
      <c r="K183" s="47"/>
      <c r="L183" s="46"/>
      <c r="M183" s="48"/>
      <c r="N183" s="48"/>
      <c r="O183" s="48"/>
    </row>
    <row r="184" ht="13.9" spans="2:15">
      <c r="B184" s="9">
        <v>184</v>
      </c>
      <c r="C184" s="45" t="s">
        <v>326</v>
      </c>
      <c r="D184" s="46" t="s">
        <v>328</v>
      </c>
      <c r="E184" s="46" t="s">
        <v>117</v>
      </c>
      <c r="F184" s="47">
        <v>0.8</v>
      </c>
      <c r="G184" s="47">
        <v>1050</v>
      </c>
      <c r="H184" s="47">
        <v>30</v>
      </c>
      <c r="I184" s="47">
        <v>73</v>
      </c>
      <c r="K184" s="47"/>
      <c r="L184" s="46"/>
      <c r="M184" s="48"/>
      <c r="N184" s="48"/>
      <c r="O184" s="48"/>
    </row>
    <row r="185" ht="13.9" spans="2:15">
      <c r="B185" s="9">
        <v>185</v>
      </c>
      <c r="C185" s="45" t="s">
        <v>326</v>
      </c>
      <c r="D185" s="46" t="s">
        <v>329</v>
      </c>
      <c r="E185" s="46" t="s">
        <v>117</v>
      </c>
      <c r="F185" s="47">
        <v>1</v>
      </c>
      <c r="G185" s="47">
        <v>1050</v>
      </c>
      <c r="H185" s="47">
        <v>30</v>
      </c>
      <c r="I185" s="47">
        <v>78</v>
      </c>
      <c r="K185" s="47"/>
      <c r="L185" s="46"/>
      <c r="M185" s="48"/>
      <c r="N185" s="48"/>
      <c r="O185" s="48"/>
    </row>
    <row r="186" ht="13.9" spans="2:15">
      <c r="B186" s="9">
        <v>186</v>
      </c>
      <c r="C186" s="45" t="s">
        <v>321</v>
      </c>
      <c r="D186" s="46" t="s">
        <v>330</v>
      </c>
      <c r="E186" s="46" t="s">
        <v>16</v>
      </c>
      <c r="F186" s="47">
        <v>0.03</v>
      </c>
      <c r="G186" s="47">
        <v>520</v>
      </c>
      <c r="H186" s="47">
        <v>100</v>
      </c>
      <c r="I186" s="47">
        <v>25</v>
      </c>
      <c r="K186" s="47"/>
      <c r="L186" s="46"/>
      <c r="M186" s="48"/>
      <c r="N186" s="48"/>
      <c r="O186" s="48"/>
    </row>
    <row r="187" ht="13.9" spans="2:15">
      <c r="B187" s="9">
        <v>187</v>
      </c>
      <c r="C187" s="45"/>
      <c r="D187" s="46" t="s">
        <v>331</v>
      </c>
      <c r="E187" s="46" t="s">
        <v>332</v>
      </c>
      <c r="F187" s="47">
        <v>0.43</v>
      </c>
      <c r="G187" s="47">
        <v>930</v>
      </c>
      <c r="H187" s="47">
        <v>186</v>
      </c>
      <c r="I187" s="47">
        <v>23</v>
      </c>
      <c r="K187" s="47"/>
      <c r="L187" s="46"/>
      <c r="M187" s="48"/>
      <c r="N187" s="48"/>
      <c r="O187" s="48"/>
    </row>
    <row r="188" ht="13.9" spans="2:15">
      <c r="B188" s="9">
        <v>188</v>
      </c>
      <c r="C188" s="45" t="s">
        <v>54</v>
      </c>
      <c r="D188" s="46" t="s">
        <v>333</v>
      </c>
      <c r="E188" s="46" t="s">
        <v>334</v>
      </c>
      <c r="F188" s="47">
        <v>0.43</v>
      </c>
      <c r="G188" s="47">
        <v>930</v>
      </c>
      <c r="H188" s="47">
        <v>186</v>
      </c>
      <c r="I188" s="47">
        <v>23</v>
      </c>
      <c r="K188" s="47"/>
      <c r="L188" s="46"/>
      <c r="M188" s="48"/>
      <c r="N188" s="48"/>
      <c r="O188" s="48"/>
    </row>
    <row r="189" ht="13.9" spans="2:15">
      <c r="B189" s="9">
        <v>189</v>
      </c>
      <c r="C189" s="45" t="s">
        <v>227</v>
      </c>
      <c r="D189" s="46" t="s">
        <v>228</v>
      </c>
      <c r="E189" s="46" t="s">
        <v>335</v>
      </c>
      <c r="F189" s="47">
        <v>0.3</v>
      </c>
      <c r="G189" s="47">
        <v>1240</v>
      </c>
      <c r="H189" s="47">
        <v>50</v>
      </c>
      <c r="I189" s="49">
        <f>10600/1.24/50</f>
        <v>170.967741935484</v>
      </c>
      <c r="K189" s="47"/>
      <c r="L189" s="46"/>
      <c r="M189" s="48"/>
      <c r="N189" s="48"/>
      <c r="O189" s="48"/>
    </row>
    <row r="190" ht="13.9" spans="2:15">
      <c r="B190" s="9">
        <v>190</v>
      </c>
      <c r="C190" s="45" t="s">
        <v>336</v>
      </c>
      <c r="D190" s="46" t="s">
        <v>337</v>
      </c>
      <c r="E190" s="46" t="s">
        <v>338</v>
      </c>
      <c r="F190" s="47">
        <v>0.1</v>
      </c>
      <c r="G190" s="47">
        <v>1250</v>
      </c>
      <c r="H190" s="47">
        <v>100</v>
      </c>
      <c r="I190" s="47">
        <v>13</v>
      </c>
      <c r="K190" s="47"/>
      <c r="L190" s="46"/>
      <c r="M190" s="48"/>
      <c r="N190" s="48"/>
      <c r="O190" s="48"/>
    </row>
    <row r="191" ht="13.9" spans="2:15">
      <c r="B191" s="9">
        <v>191</v>
      </c>
      <c r="C191" s="38"/>
      <c r="D191" s="10" t="s">
        <v>339</v>
      </c>
      <c r="E191" s="39" t="s">
        <v>124</v>
      </c>
      <c r="F191" s="40">
        <v>15.5</v>
      </c>
      <c r="G191" s="40">
        <v>1000</v>
      </c>
      <c r="H191" s="40">
        <v>100</v>
      </c>
      <c r="I191" s="41">
        <f t="shared" ref="I191:I193" si="0">1.3*F191</f>
        <v>20.15</v>
      </c>
      <c r="K191" s="40"/>
      <c r="L191" s="39"/>
      <c r="M191" s="40"/>
      <c r="N191" s="42"/>
      <c r="O191" s="42"/>
    </row>
    <row r="192" ht="13.9" spans="2:15">
      <c r="B192" s="9">
        <v>192</v>
      </c>
      <c r="C192" s="38"/>
      <c r="D192" s="10" t="s">
        <v>340</v>
      </c>
      <c r="E192" s="39" t="s">
        <v>124</v>
      </c>
      <c r="F192" s="40">
        <v>3.1</v>
      </c>
      <c r="G192" s="40">
        <v>1000</v>
      </c>
      <c r="H192" s="40">
        <v>100</v>
      </c>
      <c r="I192" s="41">
        <f t="shared" si="0"/>
        <v>4.03</v>
      </c>
      <c r="K192" s="40"/>
      <c r="L192" s="39"/>
      <c r="M192" s="40"/>
      <c r="N192" s="42"/>
      <c r="O192" s="42"/>
    </row>
    <row r="193" ht="13.85" spans="2:15">
      <c r="B193" s="9">
        <v>193</v>
      </c>
      <c r="C193" s="38"/>
      <c r="D193" s="39" t="s">
        <v>341</v>
      </c>
      <c r="E193" s="39" t="s">
        <v>124</v>
      </c>
      <c r="F193" s="40">
        <v>5.5</v>
      </c>
      <c r="G193" s="40">
        <v>1000</v>
      </c>
      <c r="H193" s="40">
        <v>100</v>
      </c>
      <c r="I193" s="41">
        <f t="shared" si="0"/>
        <v>7.15</v>
      </c>
      <c r="K193" s="40"/>
      <c r="L193" s="39"/>
      <c r="M193" s="40"/>
      <c r="N193" s="42"/>
      <c r="O193" s="42"/>
    </row>
    <row r="194" ht="13.85" spans="2:15">
      <c r="B194" s="9">
        <v>194</v>
      </c>
      <c r="C194" s="38"/>
      <c r="D194" s="39" t="s">
        <v>342</v>
      </c>
      <c r="E194" s="39" t="s">
        <v>162</v>
      </c>
      <c r="F194" s="40">
        <v>0.2</v>
      </c>
      <c r="G194" s="40">
        <v>600</v>
      </c>
      <c r="H194" s="40">
        <v>33</v>
      </c>
      <c r="I194" s="41">
        <f>5080/0.6/33</f>
        <v>256.565656565657</v>
      </c>
      <c r="K194" s="40"/>
      <c r="L194" s="39"/>
      <c r="M194" s="40"/>
      <c r="N194" s="42"/>
      <c r="O194" s="42"/>
    </row>
    <row r="195" ht="13.85" spans="2:15">
      <c r="B195" s="9">
        <v>195</v>
      </c>
      <c r="C195" s="38"/>
      <c r="D195" s="39" t="s">
        <v>343</v>
      </c>
      <c r="E195" s="39" t="s">
        <v>195</v>
      </c>
      <c r="F195" s="40"/>
      <c r="G195" s="40">
        <v>630</v>
      </c>
      <c r="H195" s="40">
        <v>50</v>
      </c>
      <c r="I195" s="41">
        <v>68</v>
      </c>
      <c r="K195" s="40"/>
      <c r="L195" s="39"/>
      <c r="M195" s="40"/>
      <c r="N195" s="42"/>
      <c r="O195" s="42"/>
    </row>
    <row r="196" ht="13.85" spans="2:15">
      <c r="B196" s="9">
        <v>196</v>
      </c>
      <c r="C196" s="38"/>
      <c r="D196" s="39" t="s">
        <v>344</v>
      </c>
      <c r="E196" s="39"/>
      <c r="F196" s="40">
        <v>0.1</v>
      </c>
      <c r="G196" s="40">
        <v>1020</v>
      </c>
      <c r="H196" s="40">
        <v>100</v>
      </c>
      <c r="I196" s="41">
        <v>6.5</v>
      </c>
      <c r="K196" s="40"/>
      <c r="L196" s="39"/>
      <c r="M196" s="40"/>
      <c r="N196" s="42"/>
      <c r="O196" s="42"/>
    </row>
    <row r="197" s="2" customFormat="1" ht="13.85" spans="2:15">
      <c r="B197" s="50">
        <v>197</v>
      </c>
      <c r="C197" s="51" t="s">
        <v>345</v>
      </c>
      <c r="D197" s="52" t="s">
        <v>346</v>
      </c>
      <c r="E197" s="51" t="s">
        <v>345</v>
      </c>
      <c r="F197" s="53"/>
      <c r="G197" s="52">
        <v>980</v>
      </c>
      <c r="H197" s="52">
        <v>100</v>
      </c>
      <c r="I197" s="52">
        <v>24.15</v>
      </c>
      <c r="J197" s="54"/>
      <c r="K197" s="53"/>
      <c r="L197" s="55"/>
      <c r="M197" s="53"/>
      <c r="N197" s="56"/>
      <c r="O197" s="56"/>
    </row>
    <row r="198" s="2" customFormat="1" ht="13.85" spans="2:15">
      <c r="B198" s="50">
        <v>198</v>
      </c>
      <c r="C198" s="51"/>
      <c r="D198" s="52" t="s">
        <v>347</v>
      </c>
      <c r="E198" s="51" t="s">
        <v>345</v>
      </c>
      <c r="F198" s="53"/>
      <c r="G198" s="52">
        <v>520</v>
      </c>
      <c r="H198" s="52">
        <v>100</v>
      </c>
      <c r="I198" s="52">
        <v>90.3</v>
      </c>
      <c r="J198" s="54"/>
      <c r="K198" s="53"/>
      <c r="L198" s="55"/>
      <c r="M198" s="53"/>
      <c r="N198" s="56"/>
      <c r="O198" s="56"/>
    </row>
    <row r="199" s="2" customFormat="1" ht="13.85" spans="2:15">
      <c r="B199" s="50">
        <v>199</v>
      </c>
      <c r="C199" s="51"/>
      <c r="D199" s="52" t="s">
        <v>348</v>
      </c>
      <c r="E199" s="51" t="s">
        <v>345</v>
      </c>
      <c r="F199" s="53"/>
      <c r="G199" s="52">
        <v>1050</v>
      </c>
      <c r="H199" s="52">
        <v>100</v>
      </c>
      <c r="I199" s="52">
        <v>29.4</v>
      </c>
      <c r="J199" s="54"/>
      <c r="K199" s="53"/>
      <c r="L199" s="55"/>
      <c r="M199" s="53"/>
      <c r="N199" s="56"/>
      <c r="O199" s="56"/>
    </row>
    <row r="200" s="2" customFormat="1" ht="13.85" spans="2:15">
      <c r="B200" s="50">
        <v>200</v>
      </c>
      <c r="C200" s="51"/>
      <c r="D200" s="52" t="s">
        <v>349</v>
      </c>
      <c r="E200" s="51" t="s">
        <v>345</v>
      </c>
      <c r="F200" s="53"/>
      <c r="G200" s="52">
        <v>1040</v>
      </c>
      <c r="H200" s="52">
        <v>100</v>
      </c>
      <c r="I200" s="52">
        <v>73.5</v>
      </c>
      <c r="J200" s="54"/>
      <c r="K200" s="53"/>
      <c r="L200" s="55"/>
      <c r="M200" s="53"/>
      <c r="N200" s="56"/>
      <c r="O200" s="56"/>
    </row>
    <row r="201" s="2" customFormat="1" ht="13.85" spans="2:15">
      <c r="B201" s="50">
        <v>201</v>
      </c>
      <c r="C201" s="51"/>
      <c r="D201" s="52" t="s">
        <v>350</v>
      </c>
      <c r="E201" s="51" t="s">
        <v>345</v>
      </c>
      <c r="F201" s="53"/>
      <c r="G201" s="52">
        <v>520</v>
      </c>
      <c r="H201" s="52">
        <v>100</v>
      </c>
      <c r="I201" s="52">
        <v>57.75</v>
      </c>
      <c r="J201" s="54"/>
      <c r="K201" s="53"/>
      <c r="L201" s="55"/>
      <c r="M201" s="53"/>
      <c r="N201" s="56"/>
      <c r="O201" s="56"/>
    </row>
    <row r="202" s="2" customFormat="1" ht="13.85" spans="2:15">
      <c r="B202" s="50">
        <v>202</v>
      </c>
      <c r="C202" s="51"/>
      <c r="D202" s="52" t="s">
        <v>351</v>
      </c>
      <c r="E202" s="51" t="s">
        <v>345</v>
      </c>
      <c r="F202" s="53"/>
      <c r="G202" s="52">
        <v>1020</v>
      </c>
      <c r="H202" s="52">
        <v>100</v>
      </c>
      <c r="I202" s="52">
        <v>16.8</v>
      </c>
      <c r="J202" s="54"/>
      <c r="K202" s="53"/>
      <c r="L202" s="55"/>
      <c r="M202" s="53"/>
      <c r="N202" s="56"/>
      <c r="O202" s="56"/>
    </row>
    <row r="203" s="2" customFormat="1" ht="13.85" spans="2:15">
      <c r="B203" s="50">
        <v>203</v>
      </c>
      <c r="C203" s="51"/>
      <c r="D203" s="52" t="s">
        <v>352</v>
      </c>
      <c r="E203" s="51" t="s">
        <v>345</v>
      </c>
      <c r="F203" s="53"/>
      <c r="G203" s="52">
        <v>520</v>
      </c>
      <c r="H203" s="52">
        <v>100</v>
      </c>
      <c r="I203" s="52">
        <v>37.8</v>
      </c>
      <c r="J203" s="54"/>
      <c r="K203" s="53"/>
      <c r="L203" s="55"/>
      <c r="M203" s="53"/>
      <c r="N203" s="56"/>
      <c r="O203" s="56"/>
    </row>
    <row r="204" s="2" customFormat="1" ht="13.85" spans="2:15">
      <c r="B204" s="50">
        <v>204</v>
      </c>
      <c r="C204" s="51"/>
      <c r="D204" s="52" t="s">
        <v>353</v>
      </c>
      <c r="E204" s="51" t="s">
        <v>345</v>
      </c>
      <c r="F204" s="53"/>
      <c r="G204" s="52">
        <v>520</v>
      </c>
      <c r="H204" s="52">
        <v>100</v>
      </c>
      <c r="I204" s="52">
        <v>68.25</v>
      </c>
      <c r="J204" s="54"/>
      <c r="K204" s="53"/>
      <c r="L204" s="55"/>
      <c r="M204" s="53"/>
      <c r="N204" s="56"/>
      <c r="O204" s="56"/>
    </row>
    <row r="205" s="2" customFormat="1" ht="13.85" spans="2:15">
      <c r="B205" s="50">
        <v>205</v>
      </c>
      <c r="C205" s="51"/>
      <c r="D205" s="52" t="s">
        <v>354</v>
      </c>
      <c r="E205" s="51" t="s">
        <v>345</v>
      </c>
      <c r="F205" s="53"/>
      <c r="G205" s="52">
        <v>1020</v>
      </c>
      <c r="H205" s="52">
        <v>100</v>
      </c>
      <c r="I205" s="52">
        <v>21</v>
      </c>
      <c r="J205" s="54"/>
      <c r="K205" s="53"/>
      <c r="L205" s="55"/>
      <c r="M205" s="53"/>
      <c r="N205" s="56"/>
      <c r="O205" s="56"/>
    </row>
    <row r="206" s="2" customFormat="1" ht="13.85" spans="2:15">
      <c r="B206" s="50">
        <v>206</v>
      </c>
      <c r="C206" s="51"/>
      <c r="D206" s="52" t="s">
        <v>346</v>
      </c>
      <c r="E206" s="51" t="s">
        <v>345</v>
      </c>
      <c r="F206" s="53"/>
      <c r="G206" s="52">
        <v>980</v>
      </c>
      <c r="H206" s="52">
        <v>100</v>
      </c>
      <c r="I206" s="52">
        <v>24.15</v>
      </c>
      <c r="J206" s="54"/>
      <c r="K206" s="53"/>
      <c r="L206" s="55"/>
      <c r="M206" s="53"/>
      <c r="N206" s="56"/>
      <c r="O206" s="56"/>
    </row>
    <row r="207" s="2" customFormat="1" ht="13.85" spans="2:15">
      <c r="B207" s="50">
        <v>207</v>
      </c>
      <c r="C207" s="51"/>
      <c r="D207" s="52" t="s">
        <v>355</v>
      </c>
      <c r="E207" s="51" t="s">
        <v>345</v>
      </c>
      <c r="F207" s="53"/>
      <c r="G207" s="52">
        <v>280</v>
      </c>
      <c r="H207" s="52">
        <v>50</v>
      </c>
      <c r="I207" s="52">
        <v>71.3</v>
      </c>
      <c r="J207" s="54"/>
      <c r="K207" s="53"/>
      <c r="L207" s="55"/>
      <c r="M207" s="53"/>
      <c r="N207" s="56"/>
      <c r="O207" s="56"/>
    </row>
    <row r="208" s="2" customFormat="1" ht="13.85" spans="2:15">
      <c r="B208" s="50">
        <v>208</v>
      </c>
      <c r="C208" s="51"/>
      <c r="D208" s="52" t="s">
        <v>356</v>
      </c>
      <c r="E208" s="51" t="s">
        <v>345</v>
      </c>
      <c r="F208" s="53"/>
      <c r="G208" s="52">
        <v>1240</v>
      </c>
      <c r="H208" s="52">
        <v>100</v>
      </c>
      <c r="I208" s="52">
        <v>21</v>
      </c>
      <c r="J208" s="54"/>
      <c r="K208" s="53"/>
      <c r="L208" s="55"/>
      <c r="M208" s="53"/>
      <c r="N208" s="56"/>
      <c r="O208" s="56"/>
    </row>
    <row r="209" s="2" customFormat="1" ht="13.85" spans="2:15">
      <c r="B209" s="50">
        <v>209</v>
      </c>
      <c r="C209" s="51"/>
      <c r="D209" s="52" t="s">
        <v>357</v>
      </c>
      <c r="E209" s="51" t="s">
        <v>345</v>
      </c>
      <c r="F209" s="53"/>
      <c r="G209" s="52">
        <v>1030</v>
      </c>
      <c r="H209" s="52">
        <v>50</v>
      </c>
      <c r="I209" s="52">
        <v>147</v>
      </c>
      <c r="J209" s="54"/>
      <c r="K209" s="53"/>
      <c r="L209" s="55"/>
      <c r="M209" s="53"/>
      <c r="N209" s="56"/>
      <c r="O209" s="56"/>
    </row>
    <row r="210" s="2" customFormat="1" spans="2:15">
      <c r="B210" s="57"/>
      <c r="C210" s="51"/>
      <c r="D210" s="52" t="s">
        <v>358</v>
      </c>
      <c r="E210" s="51" t="s">
        <v>345</v>
      </c>
      <c r="F210" s="53"/>
      <c r="G210" s="52">
        <v>1030</v>
      </c>
      <c r="H210" s="52">
        <v>100</v>
      </c>
      <c r="I210" s="52">
        <v>594.26</v>
      </c>
      <c r="J210" s="54"/>
      <c r="K210" s="53"/>
      <c r="L210" s="55"/>
      <c r="M210" s="53"/>
      <c r="N210" s="56"/>
      <c r="O210" s="56"/>
    </row>
    <row r="211" s="2" customFormat="1" ht="13.85" spans="2:15">
      <c r="B211" s="58"/>
      <c r="C211" s="59"/>
      <c r="D211" s="52" t="s">
        <v>359</v>
      </c>
      <c r="E211" s="51" t="s">
        <v>345</v>
      </c>
      <c r="F211" s="60"/>
      <c r="G211" s="52">
        <v>1050</v>
      </c>
      <c r="H211" s="52">
        <v>50</v>
      </c>
      <c r="I211" s="52">
        <v>197.4</v>
      </c>
      <c r="J211" s="54"/>
      <c r="K211" s="60"/>
      <c r="L211" s="61"/>
      <c r="M211" s="62"/>
      <c r="N211" s="62"/>
      <c r="O211" s="62"/>
    </row>
    <row r="212" s="2" customFormat="1" ht="13.85" spans="2:15">
      <c r="B212" s="58"/>
      <c r="C212" s="59"/>
      <c r="D212" s="52" t="s">
        <v>360</v>
      </c>
      <c r="E212" s="51" t="s">
        <v>345</v>
      </c>
      <c r="F212" s="60"/>
      <c r="G212" s="52">
        <v>1050</v>
      </c>
      <c r="H212" s="52">
        <v>50</v>
      </c>
      <c r="I212" s="52">
        <v>152.12</v>
      </c>
      <c r="J212" s="54"/>
      <c r="K212" s="60"/>
      <c r="L212" s="61"/>
      <c r="M212" s="62"/>
      <c r="N212" s="62"/>
      <c r="O212" s="62"/>
    </row>
    <row r="213" s="2" customFormat="1" ht="13.85" spans="2:15">
      <c r="B213" s="58"/>
      <c r="C213" s="59"/>
      <c r="D213" s="52" t="s">
        <v>361</v>
      </c>
      <c r="E213" s="51" t="s">
        <v>345</v>
      </c>
      <c r="F213" s="60"/>
      <c r="G213" s="52">
        <v>980</v>
      </c>
      <c r="H213" s="52">
        <v>20</v>
      </c>
      <c r="I213" s="52">
        <v>567.9</v>
      </c>
      <c r="J213" s="54"/>
      <c r="K213" s="60"/>
      <c r="L213" s="61"/>
      <c r="M213" s="62"/>
      <c r="N213" s="62"/>
      <c r="O213" s="62"/>
    </row>
    <row r="214" s="2" customFormat="1" ht="13.85" spans="2:15">
      <c r="B214" s="58"/>
      <c r="C214" s="59"/>
      <c r="D214" s="52" t="s">
        <v>362</v>
      </c>
      <c r="E214" s="51" t="s">
        <v>345</v>
      </c>
      <c r="F214" s="60"/>
      <c r="G214" s="52">
        <v>980</v>
      </c>
      <c r="H214" s="52">
        <v>50</v>
      </c>
      <c r="I214" s="52">
        <v>157.5</v>
      </c>
      <c r="J214" s="54"/>
      <c r="K214" s="60"/>
      <c r="L214" s="61"/>
      <c r="M214" s="62"/>
      <c r="N214" s="62"/>
      <c r="O214" s="62"/>
    </row>
    <row r="215" s="2" customFormat="1" ht="13.85" spans="2:15">
      <c r="B215" s="58"/>
      <c r="C215" s="59"/>
      <c r="D215" s="52" t="s">
        <v>363</v>
      </c>
      <c r="E215" s="51" t="s">
        <v>345</v>
      </c>
      <c r="F215" s="60"/>
      <c r="G215" s="52">
        <v>980</v>
      </c>
      <c r="H215" s="52">
        <v>106.68</v>
      </c>
      <c r="I215" s="52">
        <v>117.11</v>
      </c>
      <c r="J215" s="54"/>
      <c r="K215" s="60"/>
      <c r="L215" s="61"/>
      <c r="M215" s="62"/>
      <c r="N215" s="62"/>
      <c r="O215" s="62"/>
    </row>
    <row r="216" s="2" customFormat="1" ht="13.85" spans="2:15">
      <c r="B216" s="58"/>
      <c r="C216" s="59"/>
      <c r="D216" s="52" t="s">
        <v>364</v>
      </c>
      <c r="E216" s="51" t="s">
        <v>345</v>
      </c>
      <c r="F216" s="60"/>
      <c r="G216" s="52">
        <v>1140</v>
      </c>
      <c r="H216" s="52">
        <v>121.92</v>
      </c>
      <c r="I216" s="52">
        <v>142.8</v>
      </c>
      <c r="J216" s="54"/>
      <c r="K216" s="60"/>
      <c r="L216" s="61"/>
      <c r="M216" s="62"/>
      <c r="N216" s="62"/>
      <c r="O216" s="62"/>
    </row>
    <row r="217" s="2" customFormat="1" ht="13.85" spans="2:15">
      <c r="B217" s="58"/>
      <c r="C217" s="59"/>
      <c r="D217" s="52" t="s">
        <v>365</v>
      </c>
      <c r="E217" s="51" t="s">
        <v>345</v>
      </c>
      <c r="F217" s="60"/>
      <c r="G217" s="52">
        <v>500</v>
      </c>
      <c r="H217" s="52">
        <v>200</v>
      </c>
      <c r="I217" s="52">
        <v>20.16</v>
      </c>
      <c r="J217" s="54"/>
      <c r="K217" s="60"/>
      <c r="L217" s="61"/>
      <c r="M217" s="62"/>
      <c r="N217" s="62"/>
      <c r="O217" s="62"/>
    </row>
    <row r="218" s="2" customFormat="1" ht="13.85" spans="2:15">
      <c r="B218" s="58"/>
      <c r="C218" s="59"/>
      <c r="D218" s="52" t="s">
        <v>366</v>
      </c>
      <c r="E218" s="51" t="s">
        <v>345</v>
      </c>
      <c r="F218" s="60"/>
      <c r="G218" s="52">
        <v>1250</v>
      </c>
      <c r="H218" s="52">
        <v>100</v>
      </c>
      <c r="I218" s="52">
        <v>33.3</v>
      </c>
      <c r="J218" s="54"/>
      <c r="K218" s="60"/>
      <c r="L218" s="61"/>
      <c r="M218" s="62"/>
      <c r="N218" s="62"/>
      <c r="O218" s="62"/>
    </row>
    <row r="219" s="2" customFormat="1" ht="13.85" spans="2:15">
      <c r="B219" s="58"/>
      <c r="C219" s="59"/>
      <c r="D219" s="52" t="s">
        <v>367</v>
      </c>
      <c r="E219" s="51" t="s">
        <v>345</v>
      </c>
      <c r="F219" s="60"/>
      <c r="G219" s="52">
        <v>1250</v>
      </c>
      <c r="H219" s="52">
        <v>100</v>
      </c>
      <c r="I219" s="52">
        <v>16.84</v>
      </c>
      <c r="J219" s="54"/>
      <c r="K219" s="60"/>
      <c r="L219" s="61"/>
      <c r="M219" s="62"/>
      <c r="N219" s="62"/>
      <c r="O219" s="62"/>
    </row>
    <row r="220" spans="2:15">
      <c r="B220" s="63"/>
      <c r="C220" s="38"/>
      <c r="D220" s="39" t="s">
        <v>368</v>
      </c>
      <c r="E220" s="39"/>
      <c r="F220" s="40">
        <v>0.2</v>
      </c>
      <c r="G220" s="40">
        <v>1010</v>
      </c>
      <c r="H220" s="40">
        <v>200</v>
      </c>
      <c r="I220" s="41">
        <v>75</v>
      </c>
      <c r="K220" s="40"/>
      <c r="L220" s="39"/>
      <c r="M220" s="40"/>
      <c r="N220" s="42"/>
      <c r="O220" s="42"/>
    </row>
    <row r="221" spans="2:15">
      <c r="B221" s="63"/>
      <c r="C221" s="38"/>
      <c r="D221" s="39" t="s">
        <v>369</v>
      </c>
      <c r="E221" s="39"/>
      <c r="F221" s="40">
        <v>0.115</v>
      </c>
      <c r="G221" s="40">
        <v>1000</v>
      </c>
      <c r="H221" s="40">
        <v>200</v>
      </c>
      <c r="I221" s="41">
        <v>75</v>
      </c>
      <c r="K221" s="40"/>
      <c r="L221" s="39"/>
      <c r="M221" s="40"/>
      <c r="N221" s="42"/>
      <c r="O221" s="42"/>
    </row>
    <row r="222" spans="2:15">
      <c r="B222" s="63"/>
      <c r="C222" s="38"/>
      <c r="D222" s="39" t="s">
        <v>370</v>
      </c>
      <c r="E222" s="39" t="s">
        <v>16</v>
      </c>
      <c r="F222" s="40">
        <v>0.2</v>
      </c>
      <c r="G222" s="40"/>
      <c r="H222" s="40"/>
      <c r="I222" s="41">
        <v>38</v>
      </c>
      <c r="K222" s="40"/>
      <c r="L222" s="39"/>
      <c r="M222" s="40"/>
      <c r="N222" s="42"/>
      <c r="O222" s="42"/>
    </row>
    <row r="223" spans="2:15">
      <c r="B223" s="63"/>
      <c r="C223" s="38"/>
      <c r="D223" s="39" t="s">
        <v>371</v>
      </c>
      <c r="E223" s="39" t="s">
        <v>16</v>
      </c>
      <c r="F223" s="40">
        <v>1</v>
      </c>
      <c r="G223" s="40"/>
      <c r="H223" s="40"/>
      <c r="I223" s="41">
        <v>55</v>
      </c>
      <c r="K223" s="40"/>
      <c r="L223" s="39"/>
      <c r="M223" s="40"/>
      <c r="N223" s="42"/>
      <c r="O223" s="42"/>
    </row>
    <row r="224" spans="2:15">
      <c r="B224" s="63"/>
      <c r="C224" s="38"/>
      <c r="D224" s="39" t="s">
        <v>372</v>
      </c>
      <c r="E224" s="39" t="s">
        <v>16</v>
      </c>
      <c r="F224" s="40">
        <v>1.5</v>
      </c>
      <c r="G224" s="40"/>
      <c r="H224" s="40"/>
      <c r="I224" s="41">
        <v>70</v>
      </c>
      <c r="K224" s="40"/>
      <c r="L224" s="39"/>
      <c r="M224" s="40"/>
      <c r="N224" s="42"/>
      <c r="O224" s="42"/>
    </row>
    <row r="225" spans="2:15">
      <c r="B225" s="63"/>
      <c r="C225" s="38"/>
      <c r="D225" s="39" t="s">
        <v>373</v>
      </c>
      <c r="E225" s="39" t="s">
        <v>16</v>
      </c>
      <c r="F225" s="40">
        <v>2</v>
      </c>
      <c r="G225" s="40"/>
      <c r="H225" s="40"/>
      <c r="I225" s="41">
        <v>80</v>
      </c>
      <c r="K225" s="40"/>
      <c r="L225" s="39"/>
      <c r="M225" s="40"/>
      <c r="N225" s="42"/>
      <c r="O225" s="42"/>
    </row>
    <row r="226" spans="2:15">
      <c r="B226" s="63"/>
      <c r="C226" s="38"/>
      <c r="D226" s="39" t="s">
        <v>374</v>
      </c>
      <c r="E226" s="39" t="s">
        <v>16</v>
      </c>
      <c r="F226" s="40">
        <v>3</v>
      </c>
      <c r="G226" s="40"/>
      <c r="H226" s="40"/>
      <c r="I226" s="41">
        <v>95</v>
      </c>
      <c r="K226" s="40"/>
      <c r="L226" s="39"/>
      <c r="M226" s="40"/>
      <c r="N226" s="42"/>
      <c r="O226" s="42"/>
    </row>
    <row r="227" spans="2:15">
      <c r="B227" s="63"/>
      <c r="C227" s="38"/>
      <c r="D227" s="39" t="s">
        <v>375</v>
      </c>
      <c r="E227" s="39"/>
      <c r="F227" s="40">
        <v>0.03</v>
      </c>
      <c r="G227" s="40">
        <v>1030</v>
      </c>
      <c r="H227" s="40">
        <v>500</v>
      </c>
      <c r="I227" s="41">
        <v>1.4</v>
      </c>
      <c r="K227" s="40"/>
      <c r="L227" s="39"/>
      <c r="M227" s="40"/>
      <c r="N227" s="42"/>
      <c r="O227" s="42"/>
    </row>
    <row r="228" spans="2:15">
      <c r="B228" s="63"/>
      <c r="C228" s="38"/>
      <c r="D228" s="39" t="s">
        <v>376</v>
      </c>
      <c r="E228" s="39" t="s">
        <v>251</v>
      </c>
      <c r="F228" s="40">
        <v>0.054</v>
      </c>
      <c r="G228" s="40">
        <v>1050</v>
      </c>
      <c r="H228" s="40">
        <v>200</v>
      </c>
      <c r="I228" s="41">
        <v>1.6</v>
      </c>
      <c r="K228" s="40"/>
      <c r="L228" s="39"/>
      <c r="M228" s="40"/>
      <c r="N228" s="42"/>
      <c r="O228" s="42"/>
    </row>
    <row r="229" spans="2:15">
      <c r="B229" s="63"/>
      <c r="C229" s="38"/>
      <c r="D229" s="39" t="s">
        <v>377</v>
      </c>
      <c r="E229" s="39" t="s">
        <v>251</v>
      </c>
      <c r="F229" s="40">
        <v>0.15</v>
      </c>
      <c r="G229" s="40">
        <v>1090</v>
      </c>
      <c r="H229" s="40">
        <v>200</v>
      </c>
      <c r="I229" s="41">
        <v>1.5</v>
      </c>
      <c r="K229" s="40"/>
      <c r="L229" s="39"/>
      <c r="M229" s="40"/>
      <c r="N229" s="42"/>
      <c r="O229" s="42"/>
    </row>
    <row r="230" spans="2:15">
      <c r="B230" s="63"/>
      <c r="C230" s="38"/>
      <c r="D230" s="39">
        <v>75630</v>
      </c>
      <c r="E230" s="39"/>
      <c r="F230" s="40">
        <v>0.3</v>
      </c>
      <c r="G230" s="40">
        <v>1240</v>
      </c>
      <c r="H230" s="40">
        <v>50</v>
      </c>
      <c r="I230" s="41">
        <f>10600/1.24/50</f>
        <v>170.967741935484</v>
      </c>
      <c r="K230" s="40"/>
      <c r="L230" s="39"/>
      <c r="M230" s="40"/>
      <c r="N230" s="42"/>
      <c r="O230" s="42"/>
    </row>
    <row r="231" spans="2:15">
      <c r="B231" s="63"/>
      <c r="C231" s="38"/>
      <c r="D231" s="39" t="s">
        <v>378</v>
      </c>
      <c r="E231" s="39"/>
      <c r="F231" s="40"/>
      <c r="G231" s="40"/>
      <c r="H231" s="40"/>
      <c r="I231" s="41">
        <v>585</v>
      </c>
      <c r="K231" s="40"/>
      <c r="L231" s="39"/>
      <c r="M231" s="40"/>
      <c r="N231" s="42"/>
      <c r="O231" s="42"/>
    </row>
    <row r="232" ht="13.9" spans="2:15">
      <c r="B232" s="63"/>
      <c r="C232" s="38"/>
      <c r="D232" s="46" t="s">
        <v>379</v>
      </c>
      <c r="E232" s="39"/>
      <c r="F232" s="40"/>
      <c r="G232" s="40"/>
      <c r="H232" s="40"/>
      <c r="I232" s="41">
        <v>7.5</v>
      </c>
      <c r="K232" s="40"/>
      <c r="L232" s="39"/>
      <c r="M232" s="40"/>
      <c r="N232" s="42"/>
      <c r="O232" s="42"/>
    </row>
    <row r="233" spans="2:15">
      <c r="B233" s="63"/>
      <c r="C233" s="38"/>
      <c r="D233" s="39" t="s">
        <v>380</v>
      </c>
      <c r="E233" s="39"/>
      <c r="F233" s="40"/>
      <c r="G233" s="40">
        <v>900</v>
      </c>
      <c r="H233" s="40">
        <v>33</v>
      </c>
      <c r="I233" s="41">
        <v>8</v>
      </c>
      <c r="K233" s="40"/>
      <c r="L233" s="39"/>
      <c r="M233" s="40"/>
      <c r="N233" s="42"/>
      <c r="O233" s="42"/>
    </row>
    <row r="234" spans="2:15">
      <c r="B234" s="63"/>
      <c r="C234" s="38"/>
      <c r="D234" s="39"/>
      <c r="E234" s="39"/>
      <c r="F234" s="40"/>
      <c r="G234" s="40"/>
      <c r="H234" s="40"/>
      <c r="I234" s="41"/>
      <c r="K234" s="40"/>
      <c r="L234" s="39"/>
      <c r="M234" s="40"/>
      <c r="N234" s="42"/>
      <c r="O234" s="42"/>
    </row>
    <row r="235" spans="2:15">
      <c r="B235" s="63"/>
      <c r="C235" s="38"/>
      <c r="D235" s="39"/>
      <c r="E235" s="39"/>
      <c r="F235" s="40"/>
      <c r="G235" s="40"/>
      <c r="H235" s="40"/>
      <c r="I235" s="41"/>
      <c r="K235" s="40"/>
      <c r="L235" s="39"/>
      <c r="M235" s="40"/>
      <c r="N235" s="42"/>
      <c r="O235" s="42"/>
    </row>
    <row r="236" ht="13.85" spans="2:15">
      <c r="B236" s="64"/>
      <c r="C236" s="45"/>
      <c r="E236" s="46"/>
      <c r="F236" s="47"/>
      <c r="G236" s="47"/>
      <c r="H236" s="47"/>
      <c r="I236" s="47">
        <v>7.5</v>
      </c>
      <c r="K236" s="47"/>
      <c r="L236" s="46"/>
      <c r="M236" s="48"/>
      <c r="N236" s="48"/>
      <c r="O236" s="48"/>
    </row>
  </sheetData>
  <pageMargins left="0.75" right="0.75" top="1" bottom="1" header="0.5" footer="0.5"/>
  <pageSetup paperSize="9" orientation="portrait"/>
  <headerFooter/>
  <drawing r:id="rId2"/>
  <legacy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材料清单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</cp:lastModifiedBy>
  <dcterms:created xsi:type="dcterms:W3CDTF">2025-12-19T07:57:34Z</dcterms:created>
  <dcterms:modified xsi:type="dcterms:W3CDTF">2025-12-19T07:57:47Z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CA9DBA8BEDCA4E6B846B8528A1792749_11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